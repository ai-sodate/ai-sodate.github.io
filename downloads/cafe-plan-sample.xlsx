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提条件" sheetId="1" state="visible" r:id="rId1"/>
    <sheet xmlns:r="http://schemas.openxmlformats.org/officeDocument/2006/relationships" name="3年間の収支" sheetId="2" state="visible" r:id="rId2"/>
    <sheet xmlns:r="http://schemas.openxmlformats.org/officeDocument/2006/relationships" name="1年目の月別" sheetId="3" state="visible" r:id="rId3"/>
    <sheet xmlns:r="http://schemas.openxmlformats.org/officeDocument/2006/relationships" name="開業資金と調達" sheetId="4" state="visible" r:id="rId4"/>
    <sheet xmlns:r="http://schemas.openxmlformats.org/officeDocument/2006/relationships" name="返済表" sheetId="5" state="visible" r:id="rId5"/>
    <sheet xmlns:r="http://schemas.openxmlformats.org/officeDocument/2006/relationships" name="グラ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&quot;人&quot;"/>
  </numFmts>
  <fonts count="6">
    <font>
      <name val="Calibri"/>
      <family val="2"/>
      <color theme="1"/>
      <sz val="11"/>
      <scheme val="minor"/>
    </font>
    <font>
      <name val="BIZ UDPゴシック"/>
      <b val="1"/>
      <color rgb="006B4A32"/>
      <sz val="15"/>
    </font>
    <font>
      <name val="BIZ UDPゴシック"/>
      <color rgb="007A6A5C"/>
      <sz val="9"/>
    </font>
    <font>
      <name val="BIZ UDPゴシック"/>
      <b val="1"/>
      <color rgb="00FFFFFF"/>
      <sz val="11"/>
    </font>
    <font>
      <name val="BIZ UDPゴシック"/>
      <sz val="11"/>
    </font>
    <font>
      <name val="BIZ UDPゴシック"/>
      <b val="1"/>
      <sz val="11"/>
    </font>
  </fonts>
  <fills count="5">
    <fill>
      <patternFill/>
    </fill>
    <fill>
      <patternFill patternType="gray125"/>
    </fill>
    <fill>
      <patternFill patternType="solid">
        <fgColor rgb="006B4A32"/>
      </patternFill>
    </fill>
    <fill>
      <patternFill patternType="solid">
        <fgColor rgb="00FFF2B3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9CFC1"/>
      </left>
      <right style="thin">
        <color rgb="00D9CFC1"/>
      </right>
      <top style="thin">
        <color rgb="00D9CFC1"/>
      </top>
      <bottom style="thin">
        <color rgb="00D9CFC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" fontId="4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4" fillId="3" borderId="1" applyAlignment="1" pivotButton="0" quotePrefix="0" xfId="0">
      <alignment horizontal="right" vertical="center" wrapText="1"/>
    </xf>
    <xf numFmtId="9" fontId="4" fillId="3" borderId="1" applyAlignment="1" pivotButton="0" quotePrefix="0" xfId="0">
      <alignment horizontal="right" vertical="center" wrapText="1"/>
    </xf>
    <xf numFmtId="0" fontId="3" fillId="2" borderId="1" pivotButton="0" quotePrefix="0" xfId="0"/>
    <xf numFmtId="165" fontId="4" fillId="3" borderId="1" applyAlignment="1" pivotButton="0" quotePrefix="0" xfId="0">
      <alignment horizontal="right" vertical="center" wrapText="1"/>
    </xf>
    <xf numFmtId="49" fontId="4" fillId="3" borderId="1" applyAlignment="1" pivotButton="0" quotePrefix="0" xfId="0">
      <alignment horizontal="right" vertical="center" wrapText="1"/>
    </xf>
    <xf numFmtId="0" fontId="5" fillId="4" borderId="1" pivotButton="0" quotePrefix="0" xfId="0"/>
    <xf numFmtId="164" fontId="5" fillId="4" borderId="1" pivotButton="0" quotePrefix="0" xfId="0"/>
    <xf numFmtId="164" fontId="4" fillId="0" borderId="1" pivotButton="0" quotePrefix="0" xfId="0"/>
    <xf numFmtId="165" fontId="4" fillId="0" borderId="1" pivotButton="0" quotePrefix="0" xfId="0"/>
    <xf numFmtId="9" fontId="4" fillId="0" borderId="1" pivotButton="0" quotePrefix="0" xfId="0"/>
    <xf numFmtId="166" fontId="5" fillId="4" borderId="1" pivotButton="0" quotePrefix="0" xfId="0"/>
    <xf numFmtId="166" fontId="4" fillId="0" borderId="1" pivotButton="0" quotePrefix="0" xfId="0"/>
    <xf numFmtId="2" fontId="4" fillId="3" borderId="1" applyAlignment="1" pivotButton="0" quotePrefix="0" xfId="0">
      <alignment horizontal="right" vertical="center" wrapText="1"/>
    </xf>
    <xf numFmtId="2" fontId="4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164" fontId="5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3年間の売上・経費・利益（万円）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'グラフ'!M3</f>
            </strRef>
          </tx>
          <spPr>
            <a:solidFill xmlns:a="http://schemas.openxmlformats.org/drawingml/2006/main">
              <a:srgbClr val="6B4A32"/>
            </a:solidFill>
            <a:ln xmlns:a="http://schemas.openxmlformats.org/drawingml/2006/main">
              <a:solidFill>
                <a:srgbClr val="6B4A32"/>
              </a:solidFill>
              <a:prstDash val="solid"/>
            </a:ln>
          </spPr>
          <cat>
            <numRef>
              <f>'グラフ'!$L$4:$L$6</f>
            </numRef>
          </cat>
          <val>
            <numRef>
              <f>'グラフ'!$M$4:$M$6</f>
            </numRef>
          </val>
        </ser>
        <ser>
          <idx val="1"/>
          <order val="1"/>
          <tx>
            <strRef>
              <f>'グラフ'!N3</f>
            </strRef>
          </tx>
          <spPr>
            <a:solidFill xmlns:a="http://schemas.openxmlformats.org/drawingml/2006/main">
              <a:srgbClr val="C9B79C"/>
            </a:solidFill>
            <a:ln xmlns:a="http://schemas.openxmlformats.org/drawingml/2006/main">
              <a:solidFill>
                <a:srgbClr val="C9B79C"/>
              </a:solidFill>
              <a:prstDash val="solid"/>
            </a:ln>
          </spPr>
          <cat>
            <numRef>
              <f>'グラフ'!$L$4:$L$6</f>
            </numRef>
          </cat>
          <val>
            <numRef>
              <f>'グラフ'!$N$4:$N$6</f>
            </numRef>
          </val>
        </ser>
        <ser>
          <idx val="2"/>
          <order val="2"/>
          <tx>
            <strRef>
              <f>'グラフ'!O3</f>
            </strRef>
          </tx>
          <spPr>
            <a:solidFill xmlns:a="http://schemas.openxmlformats.org/drawingml/2006/main">
              <a:srgbClr val="C8643B"/>
            </a:solidFill>
            <a:ln xmlns:a="http://schemas.openxmlformats.org/drawingml/2006/main">
              <a:solidFill>
                <a:srgbClr val="C8643B"/>
              </a:solidFill>
              <a:prstDash val="solid"/>
            </a:ln>
          </spPr>
          <cat>
            <numRef>
              <f>'グラフ'!$L$4:$L$6</f>
            </numRef>
          </cat>
          <val>
            <numRef>
              <f>'グラフ'!$O$4:$O$6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1年目の月別の売上と利益（万円）</a:t>
            </a:r>
          </a:p>
        </rich>
      </tx>
    </title>
    <plotArea>
      <lineChart>
        <grouping val="standard"/>
        <ser>
          <idx val="0"/>
          <order val="0"/>
          <tx>
            <strRef>
              <f>'グラフ'!M9</f>
            </strRef>
          </tx>
          <spPr>
            <a:ln xmlns:a="http://schemas.openxmlformats.org/drawingml/2006/main" w="28000">
              <a:solidFill>
                <a:srgbClr val="6B4A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'グラフ'!$L$10:$L$21</f>
            </numRef>
          </cat>
          <val>
            <numRef>
              <f>'グラフ'!$M$10:$M$21</f>
            </numRef>
          </val>
          <smooth val="0"/>
        </ser>
        <ser>
          <idx val="1"/>
          <order val="1"/>
          <tx>
            <strRef>
              <f>'グラフ'!N9</f>
            </strRef>
          </tx>
          <spPr>
            <a:ln xmlns:a="http://schemas.openxmlformats.org/drawingml/2006/main" w="28000">
              <a:solidFill>
                <a:srgbClr val="C864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'グラフ'!$L$10:$L$21</f>
            </numRef>
          </cat>
          <val>
            <numRef>
              <f>'グラフ'!$N$10:$N$21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20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0" customWidth="1" min="5" max="5"/>
    <col width="44" customWidth="1" min="6" max="6"/>
  </cols>
  <sheetData>
    <row r="1">
      <c r="A1" s="1" t="inlineStr">
        <is>
          <t>カフェ ひだまり　収支計画の前提条件</t>
        </is>
      </c>
    </row>
    <row r="2">
      <c r="A2" s="2" t="inlineStr">
        <is>
          <t>黄色のセルだけ書き換えてください。ほかのシートの数字とグラフが自動で計算し直されます（店名・数字はすべて架空）</t>
        </is>
      </c>
    </row>
    <row r="4">
      <c r="A4" s="3" t="inlineStr">
        <is>
          <t>項目</t>
        </is>
      </c>
      <c r="B4" s="3" t="inlineStr">
        <is>
          <t>1年目</t>
        </is>
      </c>
      <c r="C4" s="3" t="inlineStr">
        <is>
          <t>2年目</t>
        </is>
      </c>
      <c r="D4" s="3" t="inlineStr">
        <is>
          <t>3年目</t>
        </is>
      </c>
      <c r="E4" s="3" t="inlineStr">
        <is>
          <t>単位</t>
        </is>
      </c>
      <c r="F4" s="3" t="inlineStr">
        <is>
          <t>メモ</t>
        </is>
      </c>
    </row>
    <row r="5">
      <c r="A5" s="4" t="inlineStr">
        <is>
          <t>平日の営業日数（月）</t>
        </is>
      </c>
      <c r="B5" s="5" t="n">
        <v>18</v>
      </c>
      <c r="C5" s="5" t="n">
        <v>18</v>
      </c>
      <c r="D5" s="5" t="n">
        <v>18</v>
      </c>
      <c r="E5" s="6" t="inlineStr">
        <is>
          <t>日</t>
        </is>
      </c>
      <c r="F5" s="7" t="inlineStr">
        <is>
          <t>定休日は月2日</t>
        </is>
      </c>
    </row>
    <row r="6">
      <c r="A6" s="4" t="inlineStr">
        <is>
          <t>土日祝の営業日数（月）</t>
        </is>
      </c>
      <c r="B6" s="5" t="n">
        <v>7</v>
      </c>
      <c r="C6" s="5" t="n">
        <v>7</v>
      </c>
      <c r="D6" s="5" t="n">
        <v>7</v>
      </c>
      <c r="E6" s="6" t="inlineStr">
        <is>
          <t>日</t>
        </is>
      </c>
      <c r="F6" s="7" t="inlineStr"/>
    </row>
    <row r="7">
      <c r="A7" s="4" t="inlineStr">
        <is>
          <t>平日の1日の客数</t>
        </is>
      </c>
      <c r="B7" s="5" t="n">
        <v>50</v>
      </c>
      <c r="C7" s="5" t="n">
        <v>60</v>
      </c>
      <c r="D7" s="5" t="n">
        <v>66</v>
      </c>
      <c r="E7" s="6" t="inlineStr">
        <is>
          <t>人</t>
        </is>
      </c>
      <c r="F7" s="7" t="inlineStr">
        <is>
          <t>朝の在宅ワーク・子育て世代</t>
        </is>
      </c>
    </row>
    <row r="8">
      <c r="A8" s="4" t="inlineStr">
        <is>
          <t>土日祝の1日の客数</t>
        </is>
      </c>
      <c r="B8" s="5" t="n">
        <v>68</v>
      </c>
      <c r="C8" s="5" t="n">
        <v>78</v>
      </c>
      <c r="D8" s="5" t="n">
        <v>88</v>
      </c>
      <c r="E8" s="6" t="inlineStr">
        <is>
          <t>人</t>
        </is>
      </c>
      <c r="F8" s="7" t="inlineStr">
        <is>
          <t>家族連れ・焼き菓子の持ち帰り</t>
        </is>
      </c>
    </row>
    <row r="9">
      <c r="A9" s="4" t="inlineStr">
        <is>
          <t>平日の客単価</t>
        </is>
      </c>
      <c r="B9" s="8" t="n">
        <v>1000</v>
      </c>
      <c r="C9" s="8" t="n">
        <v>1000</v>
      </c>
      <c r="D9" s="8" t="n">
        <v>1000</v>
      </c>
      <c r="E9" s="6" t="inlineStr">
        <is>
          <t>円</t>
        </is>
      </c>
      <c r="F9" s="7" t="inlineStr">
        <is>
          <t>ドリンク＋焼き菓子</t>
        </is>
      </c>
    </row>
    <row r="10">
      <c r="A10" s="4" t="inlineStr">
        <is>
          <t>土日祝の客単価</t>
        </is>
      </c>
      <c r="B10" s="8" t="n">
        <v>1200</v>
      </c>
      <c r="C10" s="8" t="n">
        <v>1200</v>
      </c>
      <c r="D10" s="8" t="n">
        <v>1200</v>
      </c>
      <c r="E10" s="6" t="inlineStr">
        <is>
          <t>円</t>
        </is>
      </c>
      <c r="F10" s="7" t="inlineStr">
        <is>
          <t>ランチセット・持ち帰りが増える</t>
        </is>
      </c>
    </row>
    <row r="11">
      <c r="A11" s="4" t="inlineStr">
        <is>
          <t>原価率（売上に対する材料費）</t>
        </is>
      </c>
      <c r="B11" s="9" t="n">
        <v>0.3</v>
      </c>
      <c r="C11" s="9" t="n">
        <v>0.3</v>
      </c>
      <c r="D11" s="9" t="n">
        <v>0.3</v>
      </c>
      <c r="E11" s="6" t="inlineStr"/>
      <c r="F11" s="7" t="inlineStr">
        <is>
          <t>自家焙煎で豆の原価をおさえる</t>
        </is>
      </c>
    </row>
    <row r="12">
      <c r="A12" s="4" t="inlineStr">
        <is>
          <t>アルバイトの時給</t>
        </is>
      </c>
      <c r="B12" s="8" t="n">
        <v>1100</v>
      </c>
      <c r="C12" s="8" t="n">
        <v>1100</v>
      </c>
      <c r="D12" s="8" t="n">
        <v>1100</v>
      </c>
      <c r="E12" s="6" t="inlineStr">
        <is>
          <t>円</t>
        </is>
      </c>
      <c r="F12" s="7" t="inlineStr"/>
    </row>
    <row r="13">
      <c r="A13" s="4" t="inlineStr">
        <is>
          <t>アルバイトの時間（月）</t>
        </is>
      </c>
      <c r="B13" s="5" t="n">
        <v>260</v>
      </c>
      <c r="C13" s="5" t="n">
        <v>380</v>
      </c>
      <c r="D13" s="5" t="n">
        <v>420</v>
      </c>
      <c r="E13" s="6" t="inlineStr">
        <is>
          <t>時間</t>
        </is>
      </c>
      <c r="F13" s="7" t="inlineStr">
        <is>
          <t>1年目は店主中心で回す</t>
        </is>
      </c>
    </row>
    <row r="14">
      <c r="A14" s="4" t="inlineStr">
        <is>
          <t>家賃（月）</t>
        </is>
      </c>
      <c r="B14" s="8" t="n">
        <v>250000</v>
      </c>
      <c r="C14" s="8" t="n">
        <v>250000</v>
      </c>
      <c r="D14" s="8" t="n">
        <v>250000</v>
      </c>
      <c r="E14" s="6" t="inlineStr">
        <is>
          <t>円</t>
        </is>
      </c>
      <c r="F14" s="7" t="inlineStr">
        <is>
          <t>18席・1階路面</t>
        </is>
      </c>
    </row>
    <row r="15">
      <c r="A15" s="4" t="inlineStr">
        <is>
          <t>水道光熱費（売上に対する割合）</t>
        </is>
      </c>
      <c r="B15" s="9" t="n">
        <v>0.05</v>
      </c>
      <c r="C15" s="9" t="n">
        <v>0.05</v>
      </c>
      <c r="D15" s="9" t="n">
        <v>0.05</v>
      </c>
      <c r="E15" s="6" t="inlineStr"/>
      <c r="F15" s="7" t="inlineStr"/>
    </row>
    <row r="16">
      <c r="A16" s="4" t="inlineStr">
        <is>
          <t>その他の経費（月）</t>
        </is>
      </c>
      <c r="B16" s="8" t="n">
        <v>80000</v>
      </c>
      <c r="C16" s="8" t="n">
        <v>80000</v>
      </c>
      <c r="D16" s="8" t="n">
        <v>80000</v>
      </c>
      <c r="E16" s="6" t="inlineStr">
        <is>
          <t>円</t>
        </is>
      </c>
      <c r="F16" s="7" t="inlineStr">
        <is>
          <t>消耗品・通信・広告・保険など</t>
        </is>
      </c>
    </row>
    <row r="18">
      <c r="A18" s="10" t="inlineStr">
        <is>
          <t>開業資金と借入</t>
        </is>
      </c>
    </row>
    <row r="19">
      <c r="A19" s="4" t="inlineStr">
        <is>
          <t>物件取得費（保証金・仲介料など）</t>
        </is>
      </c>
      <c r="B19" s="8" t="n">
        <v>1500000</v>
      </c>
      <c r="E19" s="6" t="inlineStr">
        <is>
          <t>円</t>
        </is>
      </c>
      <c r="F19" s="7" t="inlineStr"/>
    </row>
    <row r="20">
      <c r="A20" s="4" t="inlineStr">
        <is>
          <t>内装工事</t>
        </is>
      </c>
      <c r="B20" s="8" t="n">
        <v>3500000</v>
      </c>
      <c r="E20" s="6" t="inlineStr">
        <is>
          <t>円</t>
        </is>
      </c>
      <c r="F20" s="7" t="inlineStr"/>
    </row>
    <row r="21">
      <c r="A21" s="4" t="inlineStr">
        <is>
          <t>厨房機器（焙煎機・エスプレッソマシンなど）</t>
        </is>
      </c>
      <c r="B21" s="8" t="n">
        <v>2000000</v>
      </c>
      <c r="E21" s="6" t="inlineStr">
        <is>
          <t>円</t>
        </is>
      </c>
      <c r="F21" s="7" t="inlineStr"/>
    </row>
    <row r="22">
      <c r="A22" s="4" t="inlineStr">
        <is>
          <t>家具・食器などの備品</t>
        </is>
      </c>
      <c r="B22" s="8" t="n">
        <v>500000</v>
      </c>
      <c r="E22" s="6" t="inlineStr">
        <is>
          <t>円</t>
        </is>
      </c>
      <c r="F22" s="7" t="inlineStr"/>
    </row>
    <row r="23">
      <c r="A23" s="4" t="inlineStr">
        <is>
          <t>運転資金（開店直後の仕入れ・家賃など）</t>
        </is>
      </c>
      <c r="B23" s="8" t="n">
        <v>1500000</v>
      </c>
      <c r="E23" s="6" t="inlineStr">
        <is>
          <t>円</t>
        </is>
      </c>
      <c r="F23" s="7" t="inlineStr">
        <is>
          <t>売上が安定するまでの備え</t>
        </is>
      </c>
    </row>
    <row r="24">
      <c r="A24" s="4" t="inlineStr">
        <is>
          <t>自己資金</t>
        </is>
      </c>
      <c r="B24" s="8" t="n">
        <v>3000000</v>
      </c>
      <c r="E24" s="6" t="inlineStr">
        <is>
          <t>円</t>
        </is>
      </c>
      <c r="F24" s="7" t="inlineStr"/>
    </row>
    <row r="25">
      <c r="A25" s="4" t="inlineStr">
        <is>
          <t>日本政策金融公庫からの借入</t>
        </is>
      </c>
      <c r="B25" s="8" t="n">
        <v>6000000</v>
      </c>
      <c r="E25" s="6" t="inlineStr">
        <is>
          <t>円</t>
        </is>
      </c>
      <c r="F25" s="7" t="inlineStr"/>
    </row>
    <row r="26">
      <c r="A26" s="4" t="inlineStr">
        <is>
          <t>借入の年利</t>
        </is>
      </c>
      <c r="B26" s="11" t="n">
        <v>0.025</v>
      </c>
      <c r="E26" s="6" t="inlineStr"/>
      <c r="F26" s="7" t="inlineStr">
        <is>
          <t>見本用の目安</t>
        </is>
      </c>
    </row>
    <row r="27">
      <c r="A27" s="4" t="inlineStr">
        <is>
          <t>返済期間</t>
        </is>
      </c>
      <c r="B27" s="5" t="n">
        <v>84</v>
      </c>
      <c r="E27" s="6" t="inlineStr">
        <is>
          <t>か月</t>
        </is>
      </c>
      <c r="F27" s="7" t="inlineStr">
        <is>
          <t>7年・元金均等</t>
        </is>
      </c>
    </row>
    <row r="28">
      <c r="A28" s="4" t="inlineStr">
        <is>
          <t>設備の償却年数（内装・機器・備品）</t>
        </is>
      </c>
      <c r="B28" s="5" t="n">
        <v>8</v>
      </c>
      <c r="E28" s="6" t="inlineStr">
        <is>
          <t>年</t>
        </is>
      </c>
      <c r="F28" s="7" t="inlineStr">
        <is>
          <t>見本では8年でならす</t>
        </is>
      </c>
    </row>
    <row r="29">
      <c r="A29" s="4" t="inlineStr">
        <is>
          <t>店主の生活費（月）</t>
        </is>
      </c>
      <c r="B29" s="8" t="n">
        <v>220000</v>
      </c>
      <c r="E29" s="6" t="inlineStr">
        <is>
          <t>円</t>
        </is>
      </c>
      <c r="F29" s="7" t="inlineStr">
        <is>
          <t>手元に残るお金と比べる</t>
        </is>
      </c>
    </row>
    <row r="30">
      <c r="A30" s="4" t="inlineStr">
        <is>
          <t>開店</t>
        </is>
      </c>
      <c r="B30" s="12" t="inlineStr">
        <is>
          <t>2027年4月</t>
        </is>
      </c>
      <c r="E30" s="6" t="inlineStr"/>
      <c r="F30" s="7" t="inlineStr"/>
    </row>
  </sheetData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4" customWidth="1" min="5" max="5"/>
    <col width="40" customWidth="1" min="6" max="6"/>
  </cols>
  <sheetData>
    <row r="1">
      <c r="A1" s="1" t="inlineStr">
        <is>
          <t>3年間の収支計画</t>
        </is>
      </c>
    </row>
    <row r="2">
      <c r="A2" s="2" t="inlineStr">
        <is>
          <t>1年目は月別シートの合計、2・3年目は前提条件から計算（季節の係数の合計が12なので年の合計は同じ考え方）</t>
        </is>
      </c>
    </row>
    <row r="4">
      <c r="A4" s="3" t="inlineStr">
        <is>
          <t>項目</t>
        </is>
      </c>
      <c r="B4" s="3" t="inlineStr">
        <is>
          <t>1年目</t>
        </is>
      </c>
      <c r="C4" s="3" t="inlineStr">
        <is>
          <t>2年目</t>
        </is>
      </c>
      <c r="D4" s="3" t="inlineStr">
        <is>
          <t>3年目</t>
        </is>
      </c>
    </row>
    <row r="5">
      <c r="A5" s="13" t="inlineStr">
        <is>
          <t>売上</t>
        </is>
      </c>
      <c r="B5" s="14">
        <f>'1年目の月別'!N6</f>
        <v/>
      </c>
      <c r="C5" s="14">
        <f>ROUND((前提条件!$C$5*前提条件!$C$7*前提条件!$C$9+前提条件!$C$6*前提条件!$C$8*前提条件!$C$10)*12,0)</f>
        <v/>
      </c>
      <c r="D5" s="14">
        <f>ROUND((前提条件!$D$5*前提条件!$D$7*前提条件!$D$9+前提条件!$D$6*前提条件!$D$8*前提条件!$D$10)*12,0)</f>
        <v/>
      </c>
    </row>
    <row r="6">
      <c r="A6" s="4" t="inlineStr">
        <is>
          <t>材料費（原価）</t>
        </is>
      </c>
      <c r="B6" s="15">
        <f>'1年目の月別'!N7</f>
        <v/>
      </c>
      <c r="C6" s="15">
        <f>ROUND(C5*前提条件!$C$11,0)</f>
        <v/>
      </c>
      <c r="D6" s="15">
        <f>ROUND(D5*前提条件!$D$11,0)</f>
        <v/>
      </c>
    </row>
    <row r="7">
      <c r="A7" s="13" t="inlineStr">
        <is>
          <t>粗利</t>
        </is>
      </c>
      <c r="B7" s="14">
        <f>'1年目の月別'!N8</f>
        <v/>
      </c>
      <c r="C7" s="14">
        <f>C5-C6</f>
        <v/>
      </c>
      <c r="D7" s="14">
        <f>D5-D6</f>
        <v/>
      </c>
    </row>
    <row r="8">
      <c r="A8" s="4" t="inlineStr">
        <is>
          <t>アルバイト人件費</t>
        </is>
      </c>
      <c r="B8" s="15">
        <f>'1年目の月別'!N9</f>
        <v/>
      </c>
      <c r="C8" s="15">
        <f>前提条件!$C$12*前提条件!$C$13*12</f>
        <v/>
      </c>
      <c r="D8" s="15">
        <f>前提条件!$D$12*前提条件!$D$13*12</f>
        <v/>
      </c>
    </row>
    <row r="9">
      <c r="A9" s="4" t="inlineStr">
        <is>
          <t>家賃</t>
        </is>
      </c>
      <c r="B9" s="15">
        <f>'1年目の月別'!N10</f>
        <v/>
      </c>
      <c r="C9" s="15">
        <f>前提条件!$C$14*12</f>
        <v/>
      </c>
      <c r="D9" s="15">
        <f>前提条件!$D$14*12</f>
        <v/>
      </c>
    </row>
    <row r="10">
      <c r="A10" s="4" t="inlineStr">
        <is>
          <t>水道光熱費</t>
        </is>
      </c>
      <c r="B10" s="15">
        <f>'1年目の月別'!N11</f>
        <v/>
      </c>
      <c r="C10" s="15">
        <f>ROUND(C5*前提条件!$C$15,0)</f>
        <v/>
      </c>
      <c r="D10" s="15">
        <f>ROUND(D5*前提条件!$D$15,0)</f>
        <v/>
      </c>
    </row>
    <row r="11">
      <c r="A11" s="4" t="inlineStr">
        <is>
          <t>その他の経費</t>
        </is>
      </c>
      <c r="B11" s="15">
        <f>'1年目の月別'!N12</f>
        <v/>
      </c>
      <c r="C11" s="15">
        <f>前提条件!$C$16*12</f>
        <v/>
      </c>
      <c r="D11" s="15">
        <f>前提条件!$D$16*12</f>
        <v/>
      </c>
    </row>
    <row r="12">
      <c r="A12" s="4" t="inlineStr">
        <is>
          <t>減価償却費</t>
        </is>
      </c>
      <c r="B12" s="15">
        <f>'1年目の月別'!N13</f>
        <v/>
      </c>
      <c r="C12" s="15">
        <f>'1年目の月別'!$N$13</f>
        <v/>
      </c>
      <c r="D12" s="15">
        <f>'1年目の月別'!$N$13</f>
        <v/>
      </c>
    </row>
    <row r="13">
      <c r="A13" s="4" t="inlineStr">
        <is>
          <t>支払利息</t>
        </is>
      </c>
      <c r="B13" s="15">
        <f>'1年目の月別'!N14</f>
        <v/>
      </c>
      <c r="C13" s="15">
        <f>SUMIF(返済表!$B$4:$B$87,2,返済表!$E$4:$E$87)</f>
        <v/>
      </c>
      <c r="D13" s="15">
        <f>SUMIF(返済表!$B$4:$B$87,3,返済表!$E$4:$E$87)</f>
        <v/>
      </c>
    </row>
    <row r="14">
      <c r="A14" s="4" t="inlineStr">
        <is>
          <t>経費の合計</t>
        </is>
      </c>
      <c r="B14" s="15">
        <f>'1年目の月別'!N15</f>
        <v/>
      </c>
      <c r="C14" s="15">
        <f>SUM(C8:C13)</f>
        <v/>
      </c>
      <c r="D14" s="15">
        <f>SUM(D8:D13)</f>
        <v/>
      </c>
    </row>
    <row r="15">
      <c r="A15" s="13" t="inlineStr">
        <is>
          <t>利益</t>
        </is>
      </c>
      <c r="B15" s="14">
        <f>'1年目の月別'!N16</f>
        <v/>
      </c>
      <c r="C15" s="14">
        <f>C7-C14</f>
        <v/>
      </c>
      <c r="D15" s="14">
        <f>D7-D14</f>
        <v/>
      </c>
    </row>
    <row r="16">
      <c r="A16" s="4" t="inlineStr">
        <is>
          <t>利益率</t>
        </is>
      </c>
      <c r="B16" s="16">
        <f>B15/B5</f>
        <v/>
      </c>
      <c r="C16" s="16">
        <f>C15/C5</f>
        <v/>
      </c>
      <c r="D16" s="16">
        <f>D15/D5</f>
        <v/>
      </c>
    </row>
    <row r="18">
      <c r="A18" s="10" t="inlineStr">
        <is>
          <t>手元に残るお金（返済後）</t>
        </is>
      </c>
      <c r="B18" s="3" t="inlineStr">
        <is>
          <t>1年目</t>
        </is>
      </c>
      <c r="C18" s="3" t="inlineStr">
        <is>
          <t>2年目</t>
        </is>
      </c>
      <c r="D18" s="3" t="inlineStr">
        <is>
          <t>3年目</t>
        </is>
      </c>
    </row>
    <row r="19">
      <c r="A19" s="4" t="inlineStr">
        <is>
          <t>利益＋減価償却費</t>
        </is>
      </c>
      <c r="B19" s="15">
        <f>B15+B12</f>
        <v/>
      </c>
      <c r="C19" s="15">
        <f>C15+C12</f>
        <v/>
      </c>
      <c r="D19" s="15">
        <f>D15+D12</f>
        <v/>
      </c>
    </row>
    <row r="20">
      <c r="A20" s="4" t="inlineStr">
        <is>
          <t>借入の元金返済</t>
        </is>
      </c>
      <c r="B20" s="15">
        <f>SUMIF(返済表!$B$4:$B$87,1,返済表!$D$4:$D$87)</f>
        <v/>
      </c>
      <c r="C20" s="15">
        <f>SUMIF(返済表!$B$4:$B$87,2,返済表!$D$4:$D$87)</f>
        <v/>
      </c>
      <c r="D20" s="15">
        <f>SUMIF(返済表!$B$4:$B$87,3,返済表!$D$4:$D$87)</f>
        <v/>
      </c>
    </row>
    <row r="21">
      <c r="A21" s="13" t="inlineStr">
        <is>
          <t>手元に残るお金（年）</t>
        </is>
      </c>
      <c r="B21" s="14">
        <f>B19-B20</f>
        <v/>
      </c>
      <c r="C21" s="14">
        <f>C19-C20</f>
        <v/>
      </c>
      <c r="D21" s="14">
        <f>D19-D20</f>
        <v/>
      </c>
    </row>
    <row r="22">
      <c r="A22" s="13" t="inlineStr">
        <is>
          <t>手元に残るお金（月あたり）</t>
        </is>
      </c>
      <c r="B22" s="14">
        <f>ROUND(B21/12,0)</f>
        <v/>
      </c>
      <c r="C22" s="14">
        <f>ROUND(C21/12,0)</f>
        <v/>
      </c>
      <c r="D22" s="14">
        <f>ROUND(D21/12,0)</f>
        <v/>
      </c>
    </row>
    <row r="23">
      <c r="A23" s="4" t="inlineStr">
        <is>
          <t>店主の生活費（月）</t>
        </is>
      </c>
      <c r="B23" s="15">
        <f>前提条件!$B$29</f>
        <v/>
      </c>
      <c r="C23" s="15">
        <f>前提条件!$B$29</f>
        <v/>
      </c>
      <c r="D23" s="15">
        <f>前提条件!$B$29</f>
        <v/>
      </c>
    </row>
    <row r="24">
      <c r="A24" s="4" t="inlineStr">
        <is>
          <t>生活費をまかなえるか</t>
        </is>
      </c>
      <c r="B24" s="6">
        <f>IF(B22&gt;=B23,"まかなえる","足りない")</f>
        <v/>
      </c>
      <c r="C24" s="6">
        <f>IF(C22&gt;=C23,"まかなえる","足りない")</f>
        <v/>
      </c>
      <c r="D24" s="6">
        <f>IF(D22&gt;=D23,"まかなえる","足りない")</f>
        <v/>
      </c>
    </row>
    <row r="26">
      <c r="A26" s="10" t="inlineStr">
        <is>
          <t>損益分岐点（赤字にならないライン）</t>
        </is>
      </c>
      <c r="B26" s="3" t="inlineStr">
        <is>
          <t>1年目</t>
        </is>
      </c>
      <c r="C26" s="3" t="inlineStr">
        <is>
          <t>2年目</t>
        </is>
      </c>
      <c r="D26" s="3" t="inlineStr">
        <is>
          <t>3年目</t>
        </is>
      </c>
    </row>
    <row r="27">
      <c r="A27" s="4" t="inlineStr">
        <is>
          <t>固定費（人件費・家賃・その他・償却・利息）</t>
        </is>
      </c>
      <c r="B27" s="15">
        <f>B8+B9+B11+B12+B13</f>
        <v/>
      </c>
      <c r="C27" s="15">
        <f>C8+C9+C11+C12+C13</f>
        <v/>
      </c>
      <c r="D27" s="15">
        <f>D8+D9+D11+D12+D13</f>
        <v/>
      </c>
    </row>
    <row r="28">
      <c r="A28" s="4" t="inlineStr">
        <is>
          <t>変動費の割合（原価率＋水道光熱費）</t>
        </is>
      </c>
      <c r="B28" s="17">
        <f>前提条件!$B$11+前提条件!$B$15</f>
        <v/>
      </c>
      <c r="C28" s="17">
        <f>前提条件!$C$11+前提条件!$C$15</f>
        <v/>
      </c>
      <c r="D28" s="17">
        <f>前提条件!$D$11+前提条件!$D$15</f>
        <v/>
      </c>
    </row>
    <row r="29">
      <c r="A29" s="13" t="inlineStr">
        <is>
          <t>損益分岐点の売上（年）</t>
        </is>
      </c>
      <c r="B29" s="14">
        <f>ROUND(B27/(1-B28),0)</f>
        <v/>
      </c>
      <c r="C29" s="14">
        <f>ROUND(C27/(1-C28),0)</f>
        <v/>
      </c>
      <c r="D29" s="14">
        <f>ROUND(D27/(1-D28),0)</f>
        <v/>
      </c>
    </row>
    <row r="30">
      <c r="A30" s="13" t="inlineStr">
        <is>
          <t>1日あたり何人来れば黒字か</t>
        </is>
      </c>
      <c r="B30" s="18">
        <f>ROUNDUP(B29/12/(前提条件!$B$5+前提条件!$B$6)/((前提条件!$B$5*前提条件!$B$7*前提条件!$B$9+前提条件!$B$6*前提条件!$B$8*前提条件!$B$10)/(前提条件!$B$5*前提条件!$B$7+前提条件!$B$6*前提条件!$B$8)),0)</f>
        <v/>
      </c>
      <c r="C30" s="18">
        <f>ROUNDUP(C29/12/(前提条件!$C$5+前提条件!$C$6)/((前提条件!$C$5*前提条件!$C$7*前提条件!$C$9+前提条件!$C$6*前提条件!$C$8*前提条件!$C$10)/(前提条件!$C$5*前提条件!$C$7+前提条件!$C$6*前提条件!$C$8)),0)</f>
        <v/>
      </c>
      <c r="D30" s="18">
        <f>ROUNDUP(D29/12/(前提条件!$D$5+前提条件!$D$6)/((前提条件!$D$5*前提条件!$D$7*前提条件!$D$9+前提条件!$D$6*前提条件!$D$8*前提条件!$D$10)/(前提条件!$D$5*前提条件!$D$7+前提条件!$D$6*前提条件!$D$8)),0)</f>
        <v/>
      </c>
    </row>
    <row r="31">
      <c r="A31" s="4" t="inlineStr">
        <is>
          <t>計画の1日の平均客数</t>
        </is>
      </c>
      <c r="B31" s="19">
        <f>ROUND((前提条件!$B$5*前提条件!$B$7+前提条件!$B$6*前提条件!$B$8)/(前提条件!$B$5+前提条件!$B$6),0)</f>
        <v/>
      </c>
      <c r="C31" s="19">
        <f>ROUND((前提条件!$C$5*前提条件!$C$7+前提条件!$C$6*前提条件!$C$8)/(前提条件!$C$5+前提条件!$C$6),0)</f>
        <v/>
      </c>
      <c r="D31" s="19">
        <f>ROUND((前提条件!$D$5*前提条件!$D$7+前提条件!$D$6*前提条件!$D$8)/(前提条件!$D$5+前提条件!$D$6),0)</f>
        <v/>
      </c>
    </row>
  </sheetData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1年目の月別収支（開店 2027年4月）</t>
        </is>
      </c>
    </row>
    <row r="2">
      <c r="A2" s="2" t="inlineStr">
        <is>
          <t>季節の波：夏は冷たい飲み物で増え、2月は寒さで減る見込み（係数は黄色で変えられます）</t>
        </is>
      </c>
    </row>
    <row r="4">
      <c r="A4" s="3" t="inlineStr">
        <is>
          <t>項目</t>
        </is>
      </c>
      <c r="B4" s="3" t="inlineStr">
        <is>
          <t>4月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  <c r="N4" s="3" t="inlineStr">
        <is>
          <t>1年目の合計</t>
        </is>
      </c>
    </row>
    <row r="5">
      <c r="A5" s="4" t="inlineStr">
        <is>
          <t>季節の係数</t>
        </is>
      </c>
      <c r="B5" s="20" t="n">
        <v>1</v>
      </c>
      <c r="C5" s="20" t="n">
        <v>1.05</v>
      </c>
      <c r="D5" s="20" t="n">
        <v>0.95</v>
      </c>
      <c r="E5" s="20" t="n">
        <v>1.1</v>
      </c>
      <c r="F5" s="20" t="n">
        <v>1.1</v>
      </c>
      <c r="G5" s="20" t="n">
        <v>1</v>
      </c>
      <c r="H5" s="20" t="n">
        <v>1</v>
      </c>
      <c r="I5" s="20" t="n">
        <v>0.95</v>
      </c>
      <c r="J5" s="20" t="n">
        <v>1.05</v>
      </c>
      <c r="K5" s="20" t="n">
        <v>0.95</v>
      </c>
      <c r="L5" s="20" t="n">
        <v>0.85</v>
      </c>
      <c r="M5" s="20" t="n">
        <v>1</v>
      </c>
      <c r="N5" s="21">
        <f>SUM(B5:M5)</f>
        <v/>
      </c>
    </row>
    <row r="6">
      <c r="A6" s="13" t="inlineStr">
        <is>
          <t>売上</t>
        </is>
      </c>
      <c r="B6" s="14">
        <f>ROUND((前提条件!$B$5*前提条件!$B$7*前提条件!$B$9+前提条件!$B$6*前提条件!$B$8*前提条件!$B$10)*B5,0)</f>
        <v/>
      </c>
      <c r="C6" s="14">
        <f>ROUND((前提条件!$B$5*前提条件!$B$7*前提条件!$B$9+前提条件!$B$6*前提条件!$B$8*前提条件!$B$10)*C5,0)</f>
        <v/>
      </c>
      <c r="D6" s="14">
        <f>ROUND((前提条件!$B$5*前提条件!$B$7*前提条件!$B$9+前提条件!$B$6*前提条件!$B$8*前提条件!$B$10)*D5,0)</f>
        <v/>
      </c>
      <c r="E6" s="14">
        <f>ROUND((前提条件!$B$5*前提条件!$B$7*前提条件!$B$9+前提条件!$B$6*前提条件!$B$8*前提条件!$B$10)*E5,0)</f>
        <v/>
      </c>
      <c r="F6" s="14">
        <f>ROUND((前提条件!$B$5*前提条件!$B$7*前提条件!$B$9+前提条件!$B$6*前提条件!$B$8*前提条件!$B$10)*F5,0)</f>
        <v/>
      </c>
      <c r="G6" s="14">
        <f>ROUND((前提条件!$B$5*前提条件!$B$7*前提条件!$B$9+前提条件!$B$6*前提条件!$B$8*前提条件!$B$10)*G5,0)</f>
        <v/>
      </c>
      <c r="H6" s="14">
        <f>ROUND((前提条件!$B$5*前提条件!$B$7*前提条件!$B$9+前提条件!$B$6*前提条件!$B$8*前提条件!$B$10)*H5,0)</f>
        <v/>
      </c>
      <c r="I6" s="14">
        <f>ROUND((前提条件!$B$5*前提条件!$B$7*前提条件!$B$9+前提条件!$B$6*前提条件!$B$8*前提条件!$B$10)*I5,0)</f>
        <v/>
      </c>
      <c r="J6" s="14">
        <f>ROUND((前提条件!$B$5*前提条件!$B$7*前提条件!$B$9+前提条件!$B$6*前提条件!$B$8*前提条件!$B$10)*J5,0)</f>
        <v/>
      </c>
      <c r="K6" s="14">
        <f>ROUND((前提条件!$B$5*前提条件!$B$7*前提条件!$B$9+前提条件!$B$6*前提条件!$B$8*前提条件!$B$10)*K5,0)</f>
        <v/>
      </c>
      <c r="L6" s="14">
        <f>ROUND((前提条件!$B$5*前提条件!$B$7*前提条件!$B$9+前提条件!$B$6*前提条件!$B$8*前提条件!$B$10)*L5,0)</f>
        <v/>
      </c>
      <c r="M6" s="14">
        <f>ROUND((前提条件!$B$5*前提条件!$B$7*前提条件!$B$9+前提条件!$B$6*前提条件!$B$8*前提条件!$B$10)*M5,0)</f>
        <v/>
      </c>
      <c r="N6" s="14">
        <f>SUM(B6:M6)</f>
        <v/>
      </c>
    </row>
    <row r="7">
      <c r="A7" s="4" t="inlineStr">
        <is>
          <t>材料費（原価）</t>
        </is>
      </c>
      <c r="B7" s="15">
        <f>ROUND(B6*前提条件!$B$11,0)</f>
        <v/>
      </c>
      <c r="C7" s="15">
        <f>ROUND(C6*前提条件!$B$11,0)</f>
        <v/>
      </c>
      <c r="D7" s="15">
        <f>ROUND(D6*前提条件!$B$11,0)</f>
        <v/>
      </c>
      <c r="E7" s="15">
        <f>ROUND(E6*前提条件!$B$11,0)</f>
        <v/>
      </c>
      <c r="F7" s="15">
        <f>ROUND(F6*前提条件!$B$11,0)</f>
        <v/>
      </c>
      <c r="G7" s="15">
        <f>ROUND(G6*前提条件!$B$11,0)</f>
        <v/>
      </c>
      <c r="H7" s="15">
        <f>ROUND(H6*前提条件!$B$11,0)</f>
        <v/>
      </c>
      <c r="I7" s="15">
        <f>ROUND(I6*前提条件!$B$11,0)</f>
        <v/>
      </c>
      <c r="J7" s="15">
        <f>ROUND(J6*前提条件!$B$11,0)</f>
        <v/>
      </c>
      <c r="K7" s="15">
        <f>ROUND(K6*前提条件!$B$11,0)</f>
        <v/>
      </c>
      <c r="L7" s="15">
        <f>ROUND(L6*前提条件!$B$11,0)</f>
        <v/>
      </c>
      <c r="M7" s="15">
        <f>ROUND(M6*前提条件!$B$11,0)</f>
        <v/>
      </c>
      <c r="N7" s="15">
        <f>SUM(B7:M7)</f>
        <v/>
      </c>
    </row>
    <row r="8">
      <c r="A8" s="13" t="inlineStr">
        <is>
          <t>粗利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  <c r="G8" s="14">
        <f>G6-G7</f>
        <v/>
      </c>
      <c r="H8" s="14">
        <f>H6-H7</f>
        <v/>
      </c>
      <c r="I8" s="14">
        <f>I6-I7</f>
        <v/>
      </c>
      <c r="J8" s="14">
        <f>J6-J7</f>
        <v/>
      </c>
      <c r="K8" s="14">
        <f>K6-K7</f>
        <v/>
      </c>
      <c r="L8" s="14">
        <f>L6-L7</f>
        <v/>
      </c>
      <c r="M8" s="14">
        <f>M6-M7</f>
        <v/>
      </c>
      <c r="N8" s="14">
        <f>SUM(B8:M8)</f>
        <v/>
      </c>
    </row>
    <row r="9">
      <c r="A9" s="4" t="inlineStr">
        <is>
          <t>アルバイト人件費</t>
        </is>
      </c>
      <c r="B9" s="15">
        <f>前提条件!$B$12*前提条件!$B$13</f>
        <v/>
      </c>
      <c r="C9" s="15">
        <f>前提条件!$B$12*前提条件!$B$13</f>
        <v/>
      </c>
      <c r="D9" s="15">
        <f>前提条件!$B$12*前提条件!$B$13</f>
        <v/>
      </c>
      <c r="E9" s="15">
        <f>前提条件!$B$12*前提条件!$B$13</f>
        <v/>
      </c>
      <c r="F9" s="15">
        <f>前提条件!$B$12*前提条件!$B$13</f>
        <v/>
      </c>
      <c r="G9" s="15">
        <f>前提条件!$B$12*前提条件!$B$13</f>
        <v/>
      </c>
      <c r="H9" s="15">
        <f>前提条件!$B$12*前提条件!$B$13</f>
        <v/>
      </c>
      <c r="I9" s="15">
        <f>前提条件!$B$12*前提条件!$B$13</f>
        <v/>
      </c>
      <c r="J9" s="15">
        <f>前提条件!$B$12*前提条件!$B$13</f>
        <v/>
      </c>
      <c r="K9" s="15">
        <f>前提条件!$B$12*前提条件!$B$13</f>
        <v/>
      </c>
      <c r="L9" s="15">
        <f>前提条件!$B$12*前提条件!$B$13</f>
        <v/>
      </c>
      <c r="M9" s="15">
        <f>前提条件!$B$12*前提条件!$B$13</f>
        <v/>
      </c>
      <c r="N9" s="15">
        <f>SUM(B9:M9)</f>
        <v/>
      </c>
    </row>
    <row r="10">
      <c r="A10" s="4" t="inlineStr">
        <is>
          <t>家賃</t>
        </is>
      </c>
      <c r="B10" s="15">
        <f>前提条件!$B$14</f>
        <v/>
      </c>
      <c r="C10" s="15">
        <f>前提条件!$B$14</f>
        <v/>
      </c>
      <c r="D10" s="15">
        <f>前提条件!$B$14</f>
        <v/>
      </c>
      <c r="E10" s="15">
        <f>前提条件!$B$14</f>
        <v/>
      </c>
      <c r="F10" s="15">
        <f>前提条件!$B$14</f>
        <v/>
      </c>
      <c r="G10" s="15">
        <f>前提条件!$B$14</f>
        <v/>
      </c>
      <c r="H10" s="15">
        <f>前提条件!$B$14</f>
        <v/>
      </c>
      <c r="I10" s="15">
        <f>前提条件!$B$14</f>
        <v/>
      </c>
      <c r="J10" s="15">
        <f>前提条件!$B$14</f>
        <v/>
      </c>
      <c r="K10" s="15">
        <f>前提条件!$B$14</f>
        <v/>
      </c>
      <c r="L10" s="15">
        <f>前提条件!$B$14</f>
        <v/>
      </c>
      <c r="M10" s="15">
        <f>前提条件!$B$14</f>
        <v/>
      </c>
      <c r="N10" s="15">
        <f>SUM(B10:M10)</f>
        <v/>
      </c>
    </row>
    <row r="11">
      <c r="A11" s="4" t="inlineStr">
        <is>
          <t>水道光熱費</t>
        </is>
      </c>
      <c r="B11" s="15">
        <f>ROUND(B6*前提条件!$B$15,0)</f>
        <v/>
      </c>
      <c r="C11" s="15">
        <f>ROUND(C6*前提条件!$B$15,0)</f>
        <v/>
      </c>
      <c r="D11" s="15">
        <f>ROUND(D6*前提条件!$B$15,0)</f>
        <v/>
      </c>
      <c r="E11" s="15">
        <f>ROUND(E6*前提条件!$B$15,0)</f>
        <v/>
      </c>
      <c r="F11" s="15">
        <f>ROUND(F6*前提条件!$B$15,0)</f>
        <v/>
      </c>
      <c r="G11" s="15">
        <f>ROUND(G6*前提条件!$B$15,0)</f>
        <v/>
      </c>
      <c r="H11" s="15">
        <f>ROUND(H6*前提条件!$B$15,0)</f>
        <v/>
      </c>
      <c r="I11" s="15">
        <f>ROUND(I6*前提条件!$B$15,0)</f>
        <v/>
      </c>
      <c r="J11" s="15">
        <f>ROUND(J6*前提条件!$B$15,0)</f>
        <v/>
      </c>
      <c r="K11" s="15">
        <f>ROUND(K6*前提条件!$B$15,0)</f>
        <v/>
      </c>
      <c r="L11" s="15">
        <f>ROUND(L6*前提条件!$B$15,0)</f>
        <v/>
      </c>
      <c r="M11" s="15">
        <f>ROUND(M6*前提条件!$B$15,0)</f>
        <v/>
      </c>
      <c r="N11" s="15">
        <f>SUM(B11:M11)</f>
        <v/>
      </c>
    </row>
    <row r="12">
      <c r="A12" s="4" t="inlineStr">
        <is>
          <t>その他の経費</t>
        </is>
      </c>
      <c r="B12" s="15">
        <f>前提条件!$B$16</f>
        <v/>
      </c>
      <c r="C12" s="15">
        <f>前提条件!$B$16</f>
        <v/>
      </c>
      <c r="D12" s="15">
        <f>前提条件!$B$16</f>
        <v/>
      </c>
      <c r="E12" s="15">
        <f>前提条件!$B$16</f>
        <v/>
      </c>
      <c r="F12" s="15">
        <f>前提条件!$B$16</f>
        <v/>
      </c>
      <c r="G12" s="15">
        <f>前提条件!$B$16</f>
        <v/>
      </c>
      <c r="H12" s="15">
        <f>前提条件!$B$16</f>
        <v/>
      </c>
      <c r="I12" s="15">
        <f>前提条件!$B$16</f>
        <v/>
      </c>
      <c r="J12" s="15">
        <f>前提条件!$B$16</f>
        <v/>
      </c>
      <c r="K12" s="15">
        <f>前提条件!$B$16</f>
        <v/>
      </c>
      <c r="L12" s="15">
        <f>前提条件!$B$16</f>
        <v/>
      </c>
      <c r="M12" s="15">
        <f>前提条件!$B$16</f>
        <v/>
      </c>
      <c r="N12" s="15">
        <f>SUM(B12:M12)</f>
        <v/>
      </c>
    </row>
    <row r="13">
      <c r="A13" s="4" t="inlineStr">
        <is>
          <t>減価償却費</t>
        </is>
      </c>
      <c r="B13" s="15">
        <f>ROUND('開業資金と調達'!$B$13/前提条件!$B$28/12,0)</f>
        <v/>
      </c>
      <c r="C13" s="15">
        <f>ROUND('開業資金と調達'!$B$13/前提条件!$B$28/12,0)</f>
        <v/>
      </c>
      <c r="D13" s="15">
        <f>ROUND('開業資金と調達'!$B$13/前提条件!$B$28/12,0)</f>
        <v/>
      </c>
      <c r="E13" s="15">
        <f>ROUND('開業資金と調達'!$B$13/前提条件!$B$28/12,0)</f>
        <v/>
      </c>
      <c r="F13" s="15">
        <f>ROUND('開業資金と調達'!$B$13/前提条件!$B$28/12,0)</f>
        <v/>
      </c>
      <c r="G13" s="15">
        <f>ROUND('開業資金と調達'!$B$13/前提条件!$B$28/12,0)</f>
        <v/>
      </c>
      <c r="H13" s="15">
        <f>ROUND('開業資金と調達'!$B$13/前提条件!$B$28/12,0)</f>
        <v/>
      </c>
      <c r="I13" s="15">
        <f>ROUND('開業資金と調達'!$B$13/前提条件!$B$28/12,0)</f>
        <v/>
      </c>
      <c r="J13" s="15">
        <f>ROUND('開業資金と調達'!$B$13/前提条件!$B$28/12,0)</f>
        <v/>
      </c>
      <c r="K13" s="15">
        <f>ROUND('開業資金と調達'!$B$13/前提条件!$B$28/12,0)</f>
        <v/>
      </c>
      <c r="L13" s="15">
        <f>ROUND('開業資金と調達'!$B$13/前提条件!$B$28/12,0)</f>
        <v/>
      </c>
      <c r="M13" s="15">
        <f>ROUND('開業資金と調達'!$B$13/前提条件!$B$28/12,0)</f>
        <v/>
      </c>
      <c r="N13" s="15">
        <f>SUM(B13:M13)</f>
        <v/>
      </c>
    </row>
    <row r="14">
      <c r="A14" s="4" t="inlineStr">
        <is>
          <t>支払利息</t>
        </is>
      </c>
      <c r="B14" s="15">
        <f>返済表!E4</f>
        <v/>
      </c>
      <c r="C14" s="15">
        <f>返済表!E5</f>
        <v/>
      </c>
      <c r="D14" s="15">
        <f>返済表!E6</f>
        <v/>
      </c>
      <c r="E14" s="15">
        <f>返済表!E7</f>
        <v/>
      </c>
      <c r="F14" s="15">
        <f>返済表!E8</f>
        <v/>
      </c>
      <c r="G14" s="15">
        <f>返済表!E9</f>
        <v/>
      </c>
      <c r="H14" s="15">
        <f>返済表!E10</f>
        <v/>
      </c>
      <c r="I14" s="15">
        <f>返済表!E11</f>
        <v/>
      </c>
      <c r="J14" s="15">
        <f>返済表!E12</f>
        <v/>
      </c>
      <c r="K14" s="15">
        <f>返済表!E13</f>
        <v/>
      </c>
      <c r="L14" s="15">
        <f>返済表!E14</f>
        <v/>
      </c>
      <c r="M14" s="15">
        <f>返済表!E15</f>
        <v/>
      </c>
      <c r="N14" s="15">
        <f>SUM(B14:M14)</f>
        <v/>
      </c>
    </row>
    <row r="15">
      <c r="A15" s="4" t="inlineStr">
        <is>
          <t>経費の合計</t>
        </is>
      </c>
      <c r="B15" s="15">
        <f>SUM(B9:B14)</f>
        <v/>
      </c>
      <c r="C15" s="15">
        <f>SUM(C9:C14)</f>
        <v/>
      </c>
      <c r="D15" s="15">
        <f>SUM(D9:D14)</f>
        <v/>
      </c>
      <c r="E15" s="15">
        <f>SUM(E9:E14)</f>
        <v/>
      </c>
      <c r="F15" s="15">
        <f>SUM(F9:F14)</f>
        <v/>
      </c>
      <c r="G15" s="15">
        <f>SUM(G9:G14)</f>
        <v/>
      </c>
      <c r="H15" s="15">
        <f>SUM(H9:H14)</f>
        <v/>
      </c>
      <c r="I15" s="15">
        <f>SUM(I9:I14)</f>
        <v/>
      </c>
      <c r="J15" s="15">
        <f>SUM(J9:J14)</f>
        <v/>
      </c>
      <c r="K15" s="15">
        <f>SUM(K9:K14)</f>
        <v/>
      </c>
      <c r="L15" s="15">
        <f>SUM(L9:L14)</f>
        <v/>
      </c>
      <c r="M15" s="15">
        <f>SUM(M9:M14)</f>
        <v/>
      </c>
      <c r="N15" s="15">
        <f>SUM(B15:M15)</f>
        <v/>
      </c>
    </row>
    <row r="16">
      <c r="A16" s="13" t="inlineStr">
        <is>
          <t>利益</t>
        </is>
      </c>
      <c r="B16" s="14">
        <f>B8-B15</f>
        <v/>
      </c>
      <c r="C16" s="14">
        <f>C8-C15</f>
        <v/>
      </c>
      <c r="D16" s="14">
        <f>D8-D15</f>
        <v/>
      </c>
      <c r="E16" s="14">
        <f>E8-E15</f>
        <v/>
      </c>
      <c r="F16" s="14">
        <f>F8-F15</f>
        <v/>
      </c>
      <c r="G16" s="14">
        <f>G8-G15</f>
        <v/>
      </c>
      <c r="H16" s="14">
        <f>H8-H15</f>
        <v/>
      </c>
      <c r="I16" s="14">
        <f>I8-I15</f>
        <v/>
      </c>
      <c r="J16" s="14">
        <f>J8-J15</f>
        <v/>
      </c>
      <c r="K16" s="14">
        <f>K8-K15</f>
        <v/>
      </c>
      <c r="L16" s="14">
        <f>L8-L15</f>
        <v/>
      </c>
      <c r="M16" s="14">
        <f>M8-M15</f>
        <v/>
      </c>
      <c r="N16" s="14">
        <f>SUM(B16:M16)</f>
        <v/>
      </c>
    </row>
  </sheetData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" customWidth="1" min="3" max="3"/>
    <col width="30" customWidth="1" min="4" max="4"/>
    <col width="16" customWidth="1" min="5" max="5"/>
  </cols>
  <sheetData>
    <row r="1">
      <c r="A1" s="1" t="inlineStr">
        <is>
          <t>開業資金と調達方法</t>
        </is>
      </c>
    </row>
    <row r="3">
      <c r="A3" s="3" t="inlineStr">
        <is>
          <t>何に使うか</t>
        </is>
      </c>
      <c r="B3" s="3" t="inlineStr">
        <is>
          <t>金額</t>
        </is>
      </c>
      <c r="D3" s="3" t="inlineStr">
        <is>
          <t>どこから用意するか</t>
        </is>
      </c>
      <c r="E3" s="3" t="inlineStr">
        <is>
          <t>金額</t>
        </is>
      </c>
    </row>
    <row r="4">
      <c r="A4" s="4" t="inlineStr">
        <is>
          <t>物件取得費</t>
        </is>
      </c>
      <c r="B4" s="15">
        <f>前提条件!$B$19</f>
        <v/>
      </c>
      <c r="D4" s="4" t="inlineStr">
        <is>
          <t>自己資金</t>
        </is>
      </c>
      <c r="E4" s="15">
        <f>前提条件!$B$24</f>
        <v/>
      </c>
    </row>
    <row r="5">
      <c r="A5" s="4" t="inlineStr">
        <is>
          <t>内装工事</t>
        </is>
      </c>
      <c r="B5" s="15">
        <f>前提条件!$B$20</f>
        <v/>
      </c>
      <c r="D5" s="4" t="inlineStr">
        <is>
          <t>日本政策金融公庫からの借入</t>
        </is>
      </c>
      <c r="E5" s="15">
        <f>前提条件!$B$25</f>
        <v/>
      </c>
    </row>
    <row r="6">
      <c r="A6" s="4" t="inlineStr">
        <is>
          <t>厨房機器</t>
        </is>
      </c>
      <c r="B6" s="15">
        <f>前提条件!$B$21</f>
        <v/>
      </c>
    </row>
    <row r="7">
      <c r="A7" s="4" t="inlineStr">
        <is>
          <t>家具・食器などの備品</t>
        </is>
      </c>
      <c r="B7" s="15">
        <f>前提条件!$B$22</f>
        <v/>
      </c>
    </row>
    <row r="8">
      <c r="A8" s="4" t="inlineStr">
        <is>
          <t>運転資金</t>
        </is>
      </c>
      <c r="B8" s="15">
        <f>前提条件!$B$23</f>
        <v/>
      </c>
    </row>
    <row r="9">
      <c r="A9" s="13" t="inlineStr">
        <is>
          <t>合計</t>
        </is>
      </c>
      <c r="B9" s="14">
        <f>SUM(B4:B8)</f>
        <v/>
      </c>
      <c r="D9" s="13" t="inlineStr">
        <is>
          <t>合計</t>
        </is>
      </c>
      <c r="E9" s="14">
        <f>SUM(E4:E8)</f>
        <v/>
      </c>
    </row>
    <row r="11">
      <c r="A11" s="22" t="inlineStr">
        <is>
          <t>使う額と用意する額の差（0ならぴったり）</t>
        </is>
      </c>
      <c r="B11" s="23">
        <f>E9-B9</f>
        <v/>
      </c>
    </row>
    <row r="12">
      <c r="A12" s="24" t="inlineStr">
        <is>
          <t>自己資金の割合</t>
        </is>
      </c>
      <c r="B12" s="17">
        <f>E4/E9</f>
        <v/>
      </c>
    </row>
    <row r="13">
      <c r="A13" s="24" t="inlineStr">
        <is>
          <t>設備（償却する分）</t>
        </is>
      </c>
      <c r="B13" s="15">
        <f>B5+B6+B7</f>
        <v/>
      </c>
    </row>
  </sheetData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借入の返済表（元金均等）</t>
        </is>
      </c>
    </row>
    <row r="3">
      <c r="A3" s="3" t="inlineStr">
        <is>
          <t>回</t>
        </is>
      </c>
      <c r="B3" s="3" t="inlineStr">
        <is>
          <t>年目</t>
        </is>
      </c>
      <c r="C3" s="3" t="inlineStr">
        <is>
          <t>月初の残高</t>
        </is>
      </c>
      <c r="D3" s="3" t="inlineStr">
        <is>
          <t>元金</t>
        </is>
      </c>
      <c r="E3" s="3" t="inlineStr">
        <is>
          <t>利息</t>
        </is>
      </c>
      <c r="F3" s="3" t="inlineStr">
        <is>
          <t>返済額</t>
        </is>
      </c>
      <c r="G3" s="3" t="inlineStr">
        <is>
          <t>月末の残高</t>
        </is>
      </c>
    </row>
    <row r="4">
      <c r="A4" s="6" t="n">
        <v>1</v>
      </c>
      <c r="B4" s="6">
        <f>ROUNDUP(A4/12,0)</f>
        <v/>
      </c>
      <c r="C4" s="15">
        <f>前提条件!$B$25</f>
        <v/>
      </c>
      <c r="D4" s="15">
        <f>IF(A4&lt;=前提条件!$B$27,MIN(C4,ROUND(前提条件!$B$25/前提条件!$B$27,0)),0)</f>
        <v/>
      </c>
      <c r="E4" s="15">
        <f>ROUND(C4*前提条件!$B$26/12,0)</f>
        <v/>
      </c>
      <c r="F4" s="15">
        <f>D4+E4</f>
        <v/>
      </c>
      <c r="G4" s="15">
        <f>C4-D4</f>
        <v/>
      </c>
    </row>
    <row r="5">
      <c r="A5" s="6" t="n">
        <v>2</v>
      </c>
      <c r="B5" s="6">
        <f>ROUNDUP(A5/12,0)</f>
        <v/>
      </c>
      <c r="C5" s="15">
        <f>G4</f>
        <v/>
      </c>
      <c r="D5" s="15">
        <f>IF(A5&lt;=前提条件!$B$27,MIN(C5,ROUND(前提条件!$B$25/前提条件!$B$27,0)),0)</f>
        <v/>
      </c>
      <c r="E5" s="15">
        <f>ROUND(C5*前提条件!$B$26/12,0)</f>
        <v/>
      </c>
      <c r="F5" s="15">
        <f>D5+E5</f>
        <v/>
      </c>
      <c r="G5" s="15">
        <f>C5-D5</f>
        <v/>
      </c>
    </row>
    <row r="6">
      <c r="A6" s="6" t="n">
        <v>3</v>
      </c>
      <c r="B6" s="6">
        <f>ROUNDUP(A6/12,0)</f>
        <v/>
      </c>
      <c r="C6" s="15">
        <f>G5</f>
        <v/>
      </c>
      <c r="D6" s="15">
        <f>IF(A6&lt;=前提条件!$B$27,MIN(C6,ROUND(前提条件!$B$25/前提条件!$B$27,0)),0)</f>
        <v/>
      </c>
      <c r="E6" s="15">
        <f>ROUND(C6*前提条件!$B$26/12,0)</f>
        <v/>
      </c>
      <c r="F6" s="15">
        <f>D6+E6</f>
        <v/>
      </c>
      <c r="G6" s="15">
        <f>C6-D6</f>
        <v/>
      </c>
    </row>
    <row r="7">
      <c r="A7" s="6" t="n">
        <v>4</v>
      </c>
      <c r="B7" s="6">
        <f>ROUNDUP(A7/12,0)</f>
        <v/>
      </c>
      <c r="C7" s="15">
        <f>G6</f>
        <v/>
      </c>
      <c r="D7" s="15">
        <f>IF(A7&lt;=前提条件!$B$27,MIN(C7,ROUND(前提条件!$B$25/前提条件!$B$27,0)),0)</f>
        <v/>
      </c>
      <c r="E7" s="15">
        <f>ROUND(C7*前提条件!$B$26/12,0)</f>
        <v/>
      </c>
      <c r="F7" s="15">
        <f>D7+E7</f>
        <v/>
      </c>
      <c r="G7" s="15">
        <f>C7-D7</f>
        <v/>
      </c>
    </row>
    <row r="8">
      <c r="A8" s="6" t="n">
        <v>5</v>
      </c>
      <c r="B8" s="6">
        <f>ROUNDUP(A8/12,0)</f>
        <v/>
      </c>
      <c r="C8" s="15">
        <f>G7</f>
        <v/>
      </c>
      <c r="D8" s="15">
        <f>IF(A8&lt;=前提条件!$B$27,MIN(C8,ROUND(前提条件!$B$25/前提条件!$B$27,0)),0)</f>
        <v/>
      </c>
      <c r="E8" s="15">
        <f>ROUND(C8*前提条件!$B$26/12,0)</f>
        <v/>
      </c>
      <c r="F8" s="15">
        <f>D8+E8</f>
        <v/>
      </c>
      <c r="G8" s="15">
        <f>C8-D8</f>
        <v/>
      </c>
    </row>
    <row r="9">
      <c r="A9" s="6" t="n">
        <v>6</v>
      </c>
      <c r="B9" s="6">
        <f>ROUNDUP(A9/12,0)</f>
        <v/>
      </c>
      <c r="C9" s="15">
        <f>G8</f>
        <v/>
      </c>
      <c r="D9" s="15">
        <f>IF(A9&lt;=前提条件!$B$27,MIN(C9,ROUND(前提条件!$B$25/前提条件!$B$27,0)),0)</f>
        <v/>
      </c>
      <c r="E9" s="15">
        <f>ROUND(C9*前提条件!$B$26/12,0)</f>
        <v/>
      </c>
      <c r="F9" s="15">
        <f>D9+E9</f>
        <v/>
      </c>
      <c r="G9" s="15">
        <f>C9-D9</f>
        <v/>
      </c>
    </row>
    <row r="10">
      <c r="A10" s="6" t="n">
        <v>7</v>
      </c>
      <c r="B10" s="6">
        <f>ROUNDUP(A10/12,0)</f>
        <v/>
      </c>
      <c r="C10" s="15">
        <f>G9</f>
        <v/>
      </c>
      <c r="D10" s="15">
        <f>IF(A10&lt;=前提条件!$B$27,MIN(C10,ROUND(前提条件!$B$25/前提条件!$B$27,0)),0)</f>
        <v/>
      </c>
      <c r="E10" s="15">
        <f>ROUND(C10*前提条件!$B$26/12,0)</f>
        <v/>
      </c>
      <c r="F10" s="15">
        <f>D10+E10</f>
        <v/>
      </c>
      <c r="G10" s="15">
        <f>C10-D10</f>
        <v/>
      </c>
    </row>
    <row r="11">
      <c r="A11" s="6" t="n">
        <v>8</v>
      </c>
      <c r="B11" s="6">
        <f>ROUNDUP(A11/12,0)</f>
        <v/>
      </c>
      <c r="C11" s="15">
        <f>G10</f>
        <v/>
      </c>
      <c r="D11" s="15">
        <f>IF(A11&lt;=前提条件!$B$27,MIN(C11,ROUND(前提条件!$B$25/前提条件!$B$27,0)),0)</f>
        <v/>
      </c>
      <c r="E11" s="15">
        <f>ROUND(C11*前提条件!$B$26/12,0)</f>
        <v/>
      </c>
      <c r="F11" s="15">
        <f>D11+E11</f>
        <v/>
      </c>
      <c r="G11" s="15">
        <f>C11-D11</f>
        <v/>
      </c>
    </row>
    <row r="12">
      <c r="A12" s="6" t="n">
        <v>9</v>
      </c>
      <c r="B12" s="6">
        <f>ROUNDUP(A12/12,0)</f>
        <v/>
      </c>
      <c r="C12" s="15">
        <f>G11</f>
        <v/>
      </c>
      <c r="D12" s="15">
        <f>IF(A12&lt;=前提条件!$B$27,MIN(C12,ROUND(前提条件!$B$25/前提条件!$B$27,0)),0)</f>
        <v/>
      </c>
      <c r="E12" s="15">
        <f>ROUND(C12*前提条件!$B$26/12,0)</f>
        <v/>
      </c>
      <c r="F12" s="15">
        <f>D12+E12</f>
        <v/>
      </c>
      <c r="G12" s="15">
        <f>C12-D12</f>
        <v/>
      </c>
    </row>
    <row r="13">
      <c r="A13" s="6" t="n">
        <v>10</v>
      </c>
      <c r="B13" s="6">
        <f>ROUNDUP(A13/12,0)</f>
        <v/>
      </c>
      <c r="C13" s="15">
        <f>G12</f>
        <v/>
      </c>
      <c r="D13" s="15">
        <f>IF(A13&lt;=前提条件!$B$27,MIN(C13,ROUND(前提条件!$B$25/前提条件!$B$27,0)),0)</f>
        <v/>
      </c>
      <c r="E13" s="15">
        <f>ROUND(C13*前提条件!$B$26/12,0)</f>
        <v/>
      </c>
      <c r="F13" s="15">
        <f>D13+E13</f>
        <v/>
      </c>
      <c r="G13" s="15">
        <f>C13-D13</f>
        <v/>
      </c>
    </row>
    <row r="14">
      <c r="A14" s="6" t="n">
        <v>11</v>
      </c>
      <c r="B14" s="6">
        <f>ROUNDUP(A14/12,0)</f>
        <v/>
      </c>
      <c r="C14" s="15">
        <f>G13</f>
        <v/>
      </c>
      <c r="D14" s="15">
        <f>IF(A14&lt;=前提条件!$B$27,MIN(C14,ROUND(前提条件!$B$25/前提条件!$B$27,0)),0)</f>
        <v/>
      </c>
      <c r="E14" s="15">
        <f>ROUND(C14*前提条件!$B$26/12,0)</f>
        <v/>
      </c>
      <c r="F14" s="15">
        <f>D14+E14</f>
        <v/>
      </c>
      <c r="G14" s="15">
        <f>C14-D14</f>
        <v/>
      </c>
    </row>
    <row r="15">
      <c r="A15" s="6" t="n">
        <v>12</v>
      </c>
      <c r="B15" s="6">
        <f>ROUNDUP(A15/12,0)</f>
        <v/>
      </c>
      <c r="C15" s="15">
        <f>G14</f>
        <v/>
      </c>
      <c r="D15" s="15">
        <f>IF(A15&lt;=前提条件!$B$27,MIN(C15,ROUND(前提条件!$B$25/前提条件!$B$27,0)),0)</f>
        <v/>
      </c>
      <c r="E15" s="15">
        <f>ROUND(C15*前提条件!$B$26/12,0)</f>
        <v/>
      </c>
      <c r="F15" s="15">
        <f>D15+E15</f>
        <v/>
      </c>
      <c r="G15" s="15">
        <f>C15-D15</f>
        <v/>
      </c>
    </row>
    <row r="16">
      <c r="A16" s="6" t="n">
        <v>13</v>
      </c>
      <c r="B16" s="6">
        <f>ROUNDUP(A16/12,0)</f>
        <v/>
      </c>
      <c r="C16" s="15">
        <f>G15</f>
        <v/>
      </c>
      <c r="D16" s="15">
        <f>IF(A16&lt;=前提条件!$B$27,MIN(C16,ROUND(前提条件!$B$25/前提条件!$B$27,0)),0)</f>
        <v/>
      </c>
      <c r="E16" s="15">
        <f>ROUND(C16*前提条件!$B$26/12,0)</f>
        <v/>
      </c>
      <c r="F16" s="15">
        <f>D16+E16</f>
        <v/>
      </c>
      <c r="G16" s="15">
        <f>C16-D16</f>
        <v/>
      </c>
    </row>
    <row r="17">
      <c r="A17" s="6" t="n">
        <v>14</v>
      </c>
      <c r="B17" s="6">
        <f>ROUNDUP(A17/12,0)</f>
        <v/>
      </c>
      <c r="C17" s="15">
        <f>G16</f>
        <v/>
      </c>
      <c r="D17" s="15">
        <f>IF(A17&lt;=前提条件!$B$27,MIN(C17,ROUND(前提条件!$B$25/前提条件!$B$27,0)),0)</f>
        <v/>
      </c>
      <c r="E17" s="15">
        <f>ROUND(C17*前提条件!$B$26/12,0)</f>
        <v/>
      </c>
      <c r="F17" s="15">
        <f>D17+E17</f>
        <v/>
      </c>
      <c r="G17" s="15">
        <f>C17-D17</f>
        <v/>
      </c>
    </row>
    <row r="18">
      <c r="A18" s="6" t="n">
        <v>15</v>
      </c>
      <c r="B18" s="6">
        <f>ROUNDUP(A18/12,0)</f>
        <v/>
      </c>
      <c r="C18" s="15">
        <f>G17</f>
        <v/>
      </c>
      <c r="D18" s="15">
        <f>IF(A18&lt;=前提条件!$B$27,MIN(C18,ROUND(前提条件!$B$25/前提条件!$B$27,0)),0)</f>
        <v/>
      </c>
      <c r="E18" s="15">
        <f>ROUND(C18*前提条件!$B$26/12,0)</f>
        <v/>
      </c>
      <c r="F18" s="15">
        <f>D18+E18</f>
        <v/>
      </c>
      <c r="G18" s="15">
        <f>C18-D18</f>
        <v/>
      </c>
    </row>
    <row r="19">
      <c r="A19" s="6" t="n">
        <v>16</v>
      </c>
      <c r="B19" s="6">
        <f>ROUNDUP(A19/12,0)</f>
        <v/>
      </c>
      <c r="C19" s="15">
        <f>G18</f>
        <v/>
      </c>
      <c r="D19" s="15">
        <f>IF(A19&lt;=前提条件!$B$27,MIN(C19,ROUND(前提条件!$B$25/前提条件!$B$27,0)),0)</f>
        <v/>
      </c>
      <c r="E19" s="15">
        <f>ROUND(C19*前提条件!$B$26/12,0)</f>
        <v/>
      </c>
      <c r="F19" s="15">
        <f>D19+E19</f>
        <v/>
      </c>
      <c r="G19" s="15">
        <f>C19-D19</f>
        <v/>
      </c>
    </row>
    <row r="20">
      <c r="A20" s="6" t="n">
        <v>17</v>
      </c>
      <c r="B20" s="6">
        <f>ROUNDUP(A20/12,0)</f>
        <v/>
      </c>
      <c r="C20" s="15">
        <f>G19</f>
        <v/>
      </c>
      <c r="D20" s="15">
        <f>IF(A20&lt;=前提条件!$B$27,MIN(C20,ROUND(前提条件!$B$25/前提条件!$B$27,0)),0)</f>
        <v/>
      </c>
      <c r="E20" s="15">
        <f>ROUND(C20*前提条件!$B$26/12,0)</f>
        <v/>
      </c>
      <c r="F20" s="15">
        <f>D20+E20</f>
        <v/>
      </c>
      <c r="G20" s="15">
        <f>C20-D20</f>
        <v/>
      </c>
    </row>
    <row r="21">
      <c r="A21" s="6" t="n">
        <v>18</v>
      </c>
      <c r="B21" s="6">
        <f>ROUNDUP(A21/12,0)</f>
        <v/>
      </c>
      <c r="C21" s="15">
        <f>G20</f>
        <v/>
      </c>
      <c r="D21" s="15">
        <f>IF(A21&lt;=前提条件!$B$27,MIN(C21,ROUND(前提条件!$B$25/前提条件!$B$27,0)),0)</f>
        <v/>
      </c>
      <c r="E21" s="15">
        <f>ROUND(C21*前提条件!$B$26/12,0)</f>
        <v/>
      </c>
      <c r="F21" s="15">
        <f>D21+E21</f>
        <v/>
      </c>
      <c r="G21" s="15">
        <f>C21-D21</f>
        <v/>
      </c>
    </row>
    <row r="22">
      <c r="A22" s="6" t="n">
        <v>19</v>
      </c>
      <c r="B22" s="6">
        <f>ROUNDUP(A22/12,0)</f>
        <v/>
      </c>
      <c r="C22" s="15">
        <f>G21</f>
        <v/>
      </c>
      <c r="D22" s="15">
        <f>IF(A22&lt;=前提条件!$B$27,MIN(C22,ROUND(前提条件!$B$25/前提条件!$B$27,0)),0)</f>
        <v/>
      </c>
      <c r="E22" s="15">
        <f>ROUND(C22*前提条件!$B$26/12,0)</f>
        <v/>
      </c>
      <c r="F22" s="15">
        <f>D22+E22</f>
        <v/>
      </c>
      <c r="G22" s="15">
        <f>C22-D22</f>
        <v/>
      </c>
    </row>
    <row r="23">
      <c r="A23" s="6" t="n">
        <v>20</v>
      </c>
      <c r="B23" s="6">
        <f>ROUNDUP(A23/12,0)</f>
        <v/>
      </c>
      <c r="C23" s="15">
        <f>G22</f>
        <v/>
      </c>
      <c r="D23" s="15">
        <f>IF(A23&lt;=前提条件!$B$27,MIN(C23,ROUND(前提条件!$B$25/前提条件!$B$27,0)),0)</f>
        <v/>
      </c>
      <c r="E23" s="15">
        <f>ROUND(C23*前提条件!$B$26/12,0)</f>
        <v/>
      </c>
      <c r="F23" s="15">
        <f>D23+E23</f>
        <v/>
      </c>
      <c r="G23" s="15">
        <f>C23-D23</f>
        <v/>
      </c>
    </row>
    <row r="24">
      <c r="A24" s="6" t="n">
        <v>21</v>
      </c>
      <c r="B24" s="6">
        <f>ROUNDUP(A24/12,0)</f>
        <v/>
      </c>
      <c r="C24" s="15">
        <f>G23</f>
        <v/>
      </c>
      <c r="D24" s="15">
        <f>IF(A24&lt;=前提条件!$B$27,MIN(C24,ROUND(前提条件!$B$25/前提条件!$B$27,0)),0)</f>
        <v/>
      </c>
      <c r="E24" s="15">
        <f>ROUND(C24*前提条件!$B$26/12,0)</f>
        <v/>
      </c>
      <c r="F24" s="15">
        <f>D24+E24</f>
        <v/>
      </c>
      <c r="G24" s="15">
        <f>C24-D24</f>
        <v/>
      </c>
    </row>
    <row r="25">
      <c r="A25" s="6" t="n">
        <v>22</v>
      </c>
      <c r="B25" s="6">
        <f>ROUNDUP(A25/12,0)</f>
        <v/>
      </c>
      <c r="C25" s="15">
        <f>G24</f>
        <v/>
      </c>
      <c r="D25" s="15">
        <f>IF(A25&lt;=前提条件!$B$27,MIN(C25,ROUND(前提条件!$B$25/前提条件!$B$27,0)),0)</f>
        <v/>
      </c>
      <c r="E25" s="15">
        <f>ROUND(C25*前提条件!$B$26/12,0)</f>
        <v/>
      </c>
      <c r="F25" s="15">
        <f>D25+E25</f>
        <v/>
      </c>
      <c r="G25" s="15">
        <f>C25-D25</f>
        <v/>
      </c>
    </row>
    <row r="26">
      <c r="A26" s="6" t="n">
        <v>23</v>
      </c>
      <c r="B26" s="6">
        <f>ROUNDUP(A26/12,0)</f>
        <v/>
      </c>
      <c r="C26" s="15">
        <f>G25</f>
        <v/>
      </c>
      <c r="D26" s="15">
        <f>IF(A26&lt;=前提条件!$B$27,MIN(C26,ROUND(前提条件!$B$25/前提条件!$B$27,0)),0)</f>
        <v/>
      </c>
      <c r="E26" s="15">
        <f>ROUND(C26*前提条件!$B$26/12,0)</f>
        <v/>
      </c>
      <c r="F26" s="15">
        <f>D26+E26</f>
        <v/>
      </c>
      <c r="G26" s="15">
        <f>C26-D26</f>
        <v/>
      </c>
    </row>
    <row r="27">
      <c r="A27" s="6" t="n">
        <v>24</v>
      </c>
      <c r="B27" s="6">
        <f>ROUNDUP(A27/12,0)</f>
        <v/>
      </c>
      <c r="C27" s="15">
        <f>G26</f>
        <v/>
      </c>
      <c r="D27" s="15">
        <f>IF(A27&lt;=前提条件!$B$27,MIN(C27,ROUND(前提条件!$B$25/前提条件!$B$27,0)),0)</f>
        <v/>
      </c>
      <c r="E27" s="15">
        <f>ROUND(C27*前提条件!$B$26/12,0)</f>
        <v/>
      </c>
      <c r="F27" s="15">
        <f>D27+E27</f>
        <v/>
      </c>
      <c r="G27" s="15">
        <f>C27-D27</f>
        <v/>
      </c>
    </row>
    <row r="28">
      <c r="A28" s="6" t="n">
        <v>25</v>
      </c>
      <c r="B28" s="6">
        <f>ROUNDUP(A28/12,0)</f>
        <v/>
      </c>
      <c r="C28" s="15">
        <f>G27</f>
        <v/>
      </c>
      <c r="D28" s="15">
        <f>IF(A28&lt;=前提条件!$B$27,MIN(C28,ROUND(前提条件!$B$25/前提条件!$B$27,0)),0)</f>
        <v/>
      </c>
      <c r="E28" s="15">
        <f>ROUND(C28*前提条件!$B$26/12,0)</f>
        <v/>
      </c>
      <c r="F28" s="15">
        <f>D28+E28</f>
        <v/>
      </c>
      <c r="G28" s="15">
        <f>C28-D28</f>
        <v/>
      </c>
    </row>
    <row r="29">
      <c r="A29" s="6" t="n">
        <v>26</v>
      </c>
      <c r="B29" s="6">
        <f>ROUNDUP(A29/12,0)</f>
        <v/>
      </c>
      <c r="C29" s="15">
        <f>G28</f>
        <v/>
      </c>
      <c r="D29" s="15">
        <f>IF(A29&lt;=前提条件!$B$27,MIN(C29,ROUND(前提条件!$B$25/前提条件!$B$27,0)),0)</f>
        <v/>
      </c>
      <c r="E29" s="15">
        <f>ROUND(C29*前提条件!$B$26/12,0)</f>
        <v/>
      </c>
      <c r="F29" s="15">
        <f>D29+E29</f>
        <v/>
      </c>
      <c r="G29" s="15">
        <f>C29-D29</f>
        <v/>
      </c>
    </row>
    <row r="30">
      <c r="A30" s="6" t="n">
        <v>27</v>
      </c>
      <c r="B30" s="6">
        <f>ROUNDUP(A30/12,0)</f>
        <v/>
      </c>
      <c r="C30" s="15">
        <f>G29</f>
        <v/>
      </c>
      <c r="D30" s="15">
        <f>IF(A30&lt;=前提条件!$B$27,MIN(C30,ROUND(前提条件!$B$25/前提条件!$B$27,0)),0)</f>
        <v/>
      </c>
      <c r="E30" s="15">
        <f>ROUND(C30*前提条件!$B$26/12,0)</f>
        <v/>
      </c>
      <c r="F30" s="15">
        <f>D30+E30</f>
        <v/>
      </c>
      <c r="G30" s="15">
        <f>C30-D30</f>
        <v/>
      </c>
    </row>
    <row r="31">
      <c r="A31" s="6" t="n">
        <v>28</v>
      </c>
      <c r="B31" s="6">
        <f>ROUNDUP(A31/12,0)</f>
        <v/>
      </c>
      <c r="C31" s="15">
        <f>G30</f>
        <v/>
      </c>
      <c r="D31" s="15">
        <f>IF(A31&lt;=前提条件!$B$27,MIN(C31,ROUND(前提条件!$B$25/前提条件!$B$27,0)),0)</f>
        <v/>
      </c>
      <c r="E31" s="15">
        <f>ROUND(C31*前提条件!$B$26/12,0)</f>
        <v/>
      </c>
      <c r="F31" s="15">
        <f>D31+E31</f>
        <v/>
      </c>
      <c r="G31" s="15">
        <f>C31-D31</f>
        <v/>
      </c>
    </row>
    <row r="32">
      <c r="A32" s="6" t="n">
        <v>29</v>
      </c>
      <c r="B32" s="6">
        <f>ROUNDUP(A32/12,0)</f>
        <v/>
      </c>
      <c r="C32" s="15">
        <f>G31</f>
        <v/>
      </c>
      <c r="D32" s="15">
        <f>IF(A32&lt;=前提条件!$B$27,MIN(C32,ROUND(前提条件!$B$25/前提条件!$B$27,0)),0)</f>
        <v/>
      </c>
      <c r="E32" s="15">
        <f>ROUND(C32*前提条件!$B$26/12,0)</f>
        <v/>
      </c>
      <c r="F32" s="15">
        <f>D32+E32</f>
        <v/>
      </c>
      <c r="G32" s="15">
        <f>C32-D32</f>
        <v/>
      </c>
    </row>
    <row r="33">
      <c r="A33" s="6" t="n">
        <v>30</v>
      </c>
      <c r="B33" s="6">
        <f>ROUNDUP(A33/12,0)</f>
        <v/>
      </c>
      <c r="C33" s="15">
        <f>G32</f>
        <v/>
      </c>
      <c r="D33" s="15">
        <f>IF(A33&lt;=前提条件!$B$27,MIN(C33,ROUND(前提条件!$B$25/前提条件!$B$27,0)),0)</f>
        <v/>
      </c>
      <c r="E33" s="15">
        <f>ROUND(C33*前提条件!$B$26/12,0)</f>
        <v/>
      </c>
      <c r="F33" s="15">
        <f>D33+E33</f>
        <v/>
      </c>
      <c r="G33" s="15">
        <f>C33-D33</f>
        <v/>
      </c>
    </row>
    <row r="34">
      <c r="A34" s="6" t="n">
        <v>31</v>
      </c>
      <c r="B34" s="6">
        <f>ROUNDUP(A34/12,0)</f>
        <v/>
      </c>
      <c r="C34" s="15">
        <f>G33</f>
        <v/>
      </c>
      <c r="D34" s="15">
        <f>IF(A34&lt;=前提条件!$B$27,MIN(C34,ROUND(前提条件!$B$25/前提条件!$B$27,0)),0)</f>
        <v/>
      </c>
      <c r="E34" s="15">
        <f>ROUND(C34*前提条件!$B$26/12,0)</f>
        <v/>
      </c>
      <c r="F34" s="15">
        <f>D34+E34</f>
        <v/>
      </c>
      <c r="G34" s="15">
        <f>C34-D34</f>
        <v/>
      </c>
    </row>
    <row r="35">
      <c r="A35" s="6" t="n">
        <v>32</v>
      </c>
      <c r="B35" s="6">
        <f>ROUNDUP(A35/12,0)</f>
        <v/>
      </c>
      <c r="C35" s="15">
        <f>G34</f>
        <v/>
      </c>
      <c r="D35" s="15">
        <f>IF(A35&lt;=前提条件!$B$27,MIN(C35,ROUND(前提条件!$B$25/前提条件!$B$27,0)),0)</f>
        <v/>
      </c>
      <c r="E35" s="15">
        <f>ROUND(C35*前提条件!$B$26/12,0)</f>
        <v/>
      </c>
      <c r="F35" s="15">
        <f>D35+E35</f>
        <v/>
      </c>
      <c r="G35" s="15">
        <f>C35-D35</f>
        <v/>
      </c>
    </row>
    <row r="36">
      <c r="A36" s="6" t="n">
        <v>33</v>
      </c>
      <c r="B36" s="6">
        <f>ROUNDUP(A36/12,0)</f>
        <v/>
      </c>
      <c r="C36" s="15">
        <f>G35</f>
        <v/>
      </c>
      <c r="D36" s="15">
        <f>IF(A36&lt;=前提条件!$B$27,MIN(C36,ROUND(前提条件!$B$25/前提条件!$B$27,0)),0)</f>
        <v/>
      </c>
      <c r="E36" s="15">
        <f>ROUND(C36*前提条件!$B$26/12,0)</f>
        <v/>
      </c>
      <c r="F36" s="15">
        <f>D36+E36</f>
        <v/>
      </c>
      <c r="G36" s="15">
        <f>C36-D36</f>
        <v/>
      </c>
    </row>
    <row r="37">
      <c r="A37" s="6" t="n">
        <v>34</v>
      </c>
      <c r="B37" s="6">
        <f>ROUNDUP(A37/12,0)</f>
        <v/>
      </c>
      <c r="C37" s="15">
        <f>G36</f>
        <v/>
      </c>
      <c r="D37" s="15">
        <f>IF(A37&lt;=前提条件!$B$27,MIN(C37,ROUND(前提条件!$B$25/前提条件!$B$27,0)),0)</f>
        <v/>
      </c>
      <c r="E37" s="15">
        <f>ROUND(C37*前提条件!$B$26/12,0)</f>
        <v/>
      </c>
      <c r="F37" s="15">
        <f>D37+E37</f>
        <v/>
      </c>
      <c r="G37" s="15">
        <f>C37-D37</f>
        <v/>
      </c>
    </row>
    <row r="38">
      <c r="A38" s="6" t="n">
        <v>35</v>
      </c>
      <c r="B38" s="6">
        <f>ROUNDUP(A38/12,0)</f>
        <v/>
      </c>
      <c r="C38" s="15">
        <f>G37</f>
        <v/>
      </c>
      <c r="D38" s="15">
        <f>IF(A38&lt;=前提条件!$B$27,MIN(C38,ROUND(前提条件!$B$25/前提条件!$B$27,0)),0)</f>
        <v/>
      </c>
      <c r="E38" s="15">
        <f>ROUND(C38*前提条件!$B$26/12,0)</f>
        <v/>
      </c>
      <c r="F38" s="15">
        <f>D38+E38</f>
        <v/>
      </c>
      <c r="G38" s="15">
        <f>C38-D38</f>
        <v/>
      </c>
    </row>
    <row r="39">
      <c r="A39" s="6" t="n">
        <v>36</v>
      </c>
      <c r="B39" s="6">
        <f>ROUNDUP(A39/12,0)</f>
        <v/>
      </c>
      <c r="C39" s="15">
        <f>G38</f>
        <v/>
      </c>
      <c r="D39" s="15">
        <f>IF(A39&lt;=前提条件!$B$27,MIN(C39,ROUND(前提条件!$B$25/前提条件!$B$27,0)),0)</f>
        <v/>
      </c>
      <c r="E39" s="15">
        <f>ROUND(C39*前提条件!$B$26/12,0)</f>
        <v/>
      </c>
      <c r="F39" s="15">
        <f>D39+E39</f>
        <v/>
      </c>
      <c r="G39" s="15">
        <f>C39-D39</f>
        <v/>
      </c>
    </row>
    <row r="40">
      <c r="A40" s="6" t="n">
        <v>37</v>
      </c>
      <c r="B40" s="6">
        <f>ROUNDUP(A40/12,0)</f>
        <v/>
      </c>
      <c r="C40" s="15">
        <f>G39</f>
        <v/>
      </c>
      <c r="D40" s="15">
        <f>IF(A40&lt;=前提条件!$B$27,MIN(C40,ROUND(前提条件!$B$25/前提条件!$B$27,0)),0)</f>
        <v/>
      </c>
      <c r="E40" s="15">
        <f>ROUND(C40*前提条件!$B$26/12,0)</f>
        <v/>
      </c>
      <c r="F40" s="15">
        <f>D40+E40</f>
        <v/>
      </c>
      <c r="G40" s="15">
        <f>C40-D40</f>
        <v/>
      </c>
    </row>
    <row r="41">
      <c r="A41" s="6" t="n">
        <v>38</v>
      </c>
      <c r="B41" s="6">
        <f>ROUNDUP(A41/12,0)</f>
        <v/>
      </c>
      <c r="C41" s="15">
        <f>G40</f>
        <v/>
      </c>
      <c r="D41" s="15">
        <f>IF(A41&lt;=前提条件!$B$27,MIN(C41,ROUND(前提条件!$B$25/前提条件!$B$27,0)),0)</f>
        <v/>
      </c>
      <c r="E41" s="15">
        <f>ROUND(C41*前提条件!$B$26/12,0)</f>
        <v/>
      </c>
      <c r="F41" s="15">
        <f>D41+E41</f>
        <v/>
      </c>
      <c r="G41" s="15">
        <f>C41-D41</f>
        <v/>
      </c>
    </row>
    <row r="42">
      <c r="A42" s="6" t="n">
        <v>39</v>
      </c>
      <c r="B42" s="6">
        <f>ROUNDUP(A42/12,0)</f>
        <v/>
      </c>
      <c r="C42" s="15">
        <f>G41</f>
        <v/>
      </c>
      <c r="D42" s="15">
        <f>IF(A42&lt;=前提条件!$B$27,MIN(C42,ROUND(前提条件!$B$25/前提条件!$B$27,0)),0)</f>
        <v/>
      </c>
      <c r="E42" s="15">
        <f>ROUND(C42*前提条件!$B$26/12,0)</f>
        <v/>
      </c>
      <c r="F42" s="15">
        <f>D42+E42</f>
        <v/>
      </c>
      <c r="G42" s="15">
        <f>C42-D42</f>
        <v/>
      </c>
    </row>
    <row r="43">
      <c r="A43" s="6" t="n">
        <v>40</v>
      </c>
      <c r="B43" s="6">
        <f>ROUNDUP(A43/12,0)</f>
        <v/>
      </c>
      <c r="C43" s="15">
        <f>G42</f>
        <v/>
      </c>
      <c r="D43" s="15">
        <f>IF(A43&lt;=前提条件!$B$27,MIN(C43,ROUND(前提条件!$B$25/前提条件!$B$27,0)),0)</f>
        <v/>
      </c>
      <c r="E43" s="15">
        <f>ROUND(C43*前提条件!$B$26/12,0)</f>
        <v/>
      </c>
      <c r="F43" s="15">
        <f>D43+E43</f>
        <v/>
      </c>
      <c r="G43" s="15">
        <f>C43-D43</f>
        <v/>
      </c>
    </row>
    <row r="44">
      <c r="A44" s="6" t="n">
        <v>41</v>
      </c>
      <c r="B44" s="6">
        <f>ROUNDUP(A44/12,0)</f>
        <v/>
      </c>
      <c r="C44" s="15">
        <f>G43</f>
        <v/>
      </c>
      <c r="D44" s="15">
        <f>IF(A44&lt;=前提条件!$B$27,MIN(C44,ROUND(前提条件!$B$25/前提条件!$B$27,0)),0)</f>
        <v/>
      </c>
      <c r="E44" s="15">
        <f>ROUND(C44*前提条件!$B$26/12,0)</f>
        <v/>
      </c>
      <c r="F44" s="15">
        <f>D44+E44</f>
        <v/>
      </c>
      <c r="G44" s="15">
        <f>C44-D44</f>
        <v/>
      </c>
    </row>
    <row r="45">
      <c r="A45" s="6" t="n">
        <v>42</v>
      </c>
      <c r="B45" s="6">
        <f>ROUNDUP(A45/12,0)</f>
        <v/>
      </c>
      <c r="C45" s="15">
        <f>G44</f>
        <v/>
      </c>
      <c r="D45" s="15">
        <f>IF(A45&lt;=前提条件!$B$27,MIN(C45,ROUND(前提条件!$B$25/前提条件!$B$27,0)),0)</f>
        <v/>
      </c>
      <c r="E45" s="15">
        <f>ROUND(C45*前提条件!$B$26/12,0)</f>
        <v/>
      </c>
      <c r="F45" s="15">
        <f>D45+E45</f>
        <v/>
      </c>
      <c r="G45" s="15">
        <f>C45-D45</f>
        <v/>
      </c>
    </row>
    <row r="46">
      <c r="A46" s="6" t="n">
        <v>43</v>
      </c>
      <c r="B46" s="6">
        <f>ROUNDUP(A46/12,0)</f>
        <v/>
      </c>
      <c r="C46" s="15">
        <f>G45</f>
        <v/>
      </c>
      <c r="D46" s="15">
        <f>IF(A46&lt;=前提条件!$B$27,MIN(C46,ROUND(前提条件!$B$25/前提条件!$B$27,0)),0)</f>
        <v/>
      </c>
      <c r="E46" s="15">
        <f>ROUND(C46*前提条件!$B$26/12,0)</f>
        <v/>
      </c>
      <c r="F46" s="15">
        <f>D46+E46</f>
        <v/>
      </c>
      <c r="G46" s="15">
        <f>C46-D46</f>
        <v/>
      </c>
    </row>
    <row r="47">
      <c r="A47" s="6" t="n">
        <v>44</v>
      </c>
      <c r="B47" s="6">
        <f>ROUNDUP(A47/12,0)</f>
        <v/>
      </c>
      <c r="C47" s="15">
        <f>G46</f>
        <v/>
      </c>
      <c r="D47" s="15">
        <f>IF(A47&lt;=前提条件!$B$27,MIN(C47,ROUND(前提条件!$B$25/前提条件!$B$27,0)),0)</f>
        <v/>
      </c>
      <c r="E47" s="15">
        <f>ROUND(C47*前提条件!$B$26/12,0)</f>
        <v/>
      </c>
      <c r="F47" s="15">
        <f>D47+E47</f>
        <v/>
      </c>
      <c r="G47" s="15">
        <f>C47-D47</f>
        <v/>
      </c>
    </row>
    <row r="48">
      <c r="A48" s="6" t="n">
        <v>45</v>
      </c>
      <c r="B48" s="6">
        <f>ROUNDUP(A48/12,0)</f>
        <v/>
      </c>
      <c r="C48" s="15">
        <f>G47</f>
        <v/>
      </c>
      <c r="D48" s="15">
        <f>IF(A48&lt;=前提条件!$B$27,MIN(C48,ROUND(前提条件!$B$25/前提条件!$B$27,0)),0)</f>
        <v/>
      </c>
      <c r="E48" s="15">
        <f>ROUND(C48*前提条件!$B$26/12,0)</f>
        <v/>
      </c>
      <c r="F48" s="15">
        <f>D48+E48</f>
        <v/>
      </c>
      <c r="G48" s="15">
        <f>C48-D48</f>
        <v/>
      </c>
    </row>
    <row r="49">
      <c r="A49" s="6" t="n">
        <v>46</v>
      </c>
      <c r="B49" s="6">
        <f>ROUNDUP(A49/12,0)</f>
        <v/>
      </c>
      <c r="C49" s="15">
        <f>G48</f>
        <v/>
      </c>
      <c r="D49" s="15">
        <f>IF(A49&lt;=前提条件!$B$27,MIN(C49,ROUND(前提条件!$B$25/前提条件!$B$27,0)),0)</f>
        <v/>
      </c>
      <c r="E49" s="15">
        <f>ROUND(C49*前提条件!$B$26/12,0)</f>
        <v/>
      </c>
      <c r="F49" s="15">
        <f>D49+E49</f>
        <v/>
      </c>
      <c r="G49" s="15">
        <f>C49-D49</f>
        <v/>
      </c>
    </row>
    <row r="50">
      <c r="A50" s="6" t="n">
        <v>47</v>
      </c>
      <c r="B50" s="6">
        <f>ROUNDUP(A50/12,0)</f>
        <v/>
      </c>
      <c r="C50" s="15">
        <f>G49</f>
        <v/>
      </c>
      <c r="D50" s="15">
        <f>IF(A50&lt;=前提条件!$B$27,MIN(C50,ROUND(前提条件!$B$25/前提条件!$B$27,0)),0)</f>
        <v/>
      </c>
      <c r="E50" s="15">
        <f>ROUND(C50*前提条件!$B$26/12,0)</f>
        <v/>
      </c>
      <c r="F50" s="15">
        <f>D50+E50</f>
        <v/>
      </c>
      <c r="G50" s="15">
        <f>C50-D50</f>
        <v/>
      </c>
    </row>
    <row r="51">
      <c r="A51" s="6" t="n">
        <v>48</v>
      </c>
      <c r="B51" s="6">
        <f>ROUNDUP(A51/12,0)</f>
        <v/>
      </c>
      <c r="C51" s="15">
        <f>G50</f>
        <v/>
      </c>
      <c r="D51" s="15">
        <f>IF(A51&lt;=前提条件!$B$27,MIN(C51,ROUND(前提条件!$B$25/前提条件!$B$27,0)),0)</f>
        <v/>
      </c>
      <c r="E51" s="15">
        <f>ROUND(C51*前提条件!$B$26/12,0)</f>
        <v/>
      </c>
      <c r="F51" s="15">
        <f>D51+E51</f>
        <v/>
      </c>
      <c r="G51" s="15">
        <f>C51-D51</f>
        <v/>
      </c>
    </row>
    <row r="52">
      <c r="A52" s="6" t="n">
        <v>49</v>
      </c>
      <c r="B52" s="6">
        <f>ROUNDUP(A52/12,0)</f>
        <v/>
      </c>
      <c r="C52" s="15">
        <f>G51</f>
        <v/>
      </c>
      <c r="D52" s="15">
        <f>IF(A52&lt;=前提条件!$B$27,MIN(C52,ROUND(前提条件!$B$25/前提条件!$B$27,0)),0)</f>
        <v/>
      </c>
      <c r="E52" s="15">
        <f>ROUND(C52*前提条件!$B$26/12,0)</f>
        <v/>
      </c>
      <c r="F52" s="15">
        <f>D52+E52</f>
        <v/>
      </c>
      <c r="G52" s="15">
        <f>C52-D52</f>
        <v/>
      </c>
    </row>
    <row r="53">
      <c r="A53" s="6" t="n">
        <v>50</v>
      </c>
      <c r="B53" s="6">
        <f>ROUNDUP(A53/12,0)</f>
        <v/>
      </c>
      <c r="C53" s="15">
        <f>G52</f>
        <v/>
      </c>
      <c r="D53" s="15">
        <f>IF(A53&lt;=前提条件!$B$27,MIN(C53,ROUND(前提条件!$B$25/前提条件!$B$27,0)),0)</f>
        <v/>
      </c>
      <c r="E53" s="15">
        <f>ROUND(C53*前提条件!$B$26/12,0)</f>
        <v/>
      </c>
      <c r="F53" s="15">
        <f>D53+E53</f>
        <v/>
      </c>
      <c r="G53" s="15">
        <f>C53-D53</f>
        <v/>
      </c>
    </row>
    <row r="54">
      <c r="A54" s="6" t="n">
        <v>51</v>
      </c>
      <c r="B54" s="6">
        <f>ROUNDUP(A54/12,0)</f>
        <v/>
      </c>
      <c r="C54" s="15">
        <f>G53</f>
        <v/>
      </c>
      <c r="D54" s="15">
        <f>IF(A54&lt;=前提条件!$B$27,MIN(C54,ROUND(前提条件!$B$25/前提条件!$B$27,0)),0)</f>
        <v/>
      </c>
      <c r="E54" s="15">
        <f>ROUND(C54*前提条件!$B$26/12,0)</f>
        <v/>
      </c>
      <c r="F54" s="15">
        <f>D54+E54</f>
        <v/>
      </c>
      <c r="G54" s="15">
        <f>C54-D54</f>
        <v/>
      </c>
    </row>
    <row r="55">
      <c r="A55" s="6" t="n">
        <v>52</v>
      </c>
      <c r="B55" s="6">
        <f>ROUNDUP(A55/12,0)</f>
        <v/>
      </c>
      <c r="C55" s="15">
        <f>G54</f>
        <v/>
      </c>
      <c r="D55" s="15">
        <f>IF(A55&lt;=前提条件!$B$27,MIN(C55,ROUND(前提条件!$B$25/前提条件!$B$27,0)),0)</f>
        <v/>
      </c>
      <c r="E55" s="15">
        <f>ROUND(C55*前提条件!$B$26/12,0)</f>
        <v/>
      </c>
      <c r="F55" s="15">
        <f>D55+E55</f>
        <v/>
      </c>
      <c r="G55" s="15">
        <f>C55-D55</f>
        <v/>
      </c>
    </row>
    <row r="56">
      <c r="A56" s="6" t="n">
        <v>53</v>
      </c>
      <c r="B56" s="6">
        <f>ROUNDUP(A56/12,0)</f>
        <v/>
      </c>
      <c r="C56" s="15">
        <f>G55</f>
        <v/>
      </c>
      <c r="D56" s="15">
        <f>IF(A56&lt;=前提条件!$B$27,MIN(C56,ROUND(前提条件!$B$25/前提条件!$B$27,0)),0)</f>
        <v/>
      </c>
      <c r="E56" s="15">
        <f>ROUND(C56*前提条件!$B$26/12,0)</f>
        <v/>
      </c>
      <c r="F56" s="15">
        <f>D56+E56</f>
        <v/>
      </c>
      <c r="G56" s="15">
        <f>C56-D56</f>
        <v/>
      </c>
    </row>
    <row r="57">
      <c r="A57" s="6" t="n">
        <v>54</v>
      </c>
      <c r="B57" s="6">
        <f>ROUNDUP(A57/12,0)</f>
        <v/>
      </c>
      <c r="C57" s="15">
        <f>G56</f>
        <v/>
      </c>
      <c r="D57" s="15">
        <f>IF(A57&lt;=前提条件!$B$27,MIN(C57,ROUND(前提条件!$B$25/前提条件!$B$27,0)),0)</f>
        <v/>
      </c>
      <c r="E57" s="15">
        <f>ROUND(C57*前提条件!$B$26/12,0)</f>
        <v/>
      </c>
      <c r="F57" s="15">
        <f>D57+E57</f>
        <v/>
      </c>
      <c r="G57" s="15">
        <f>C57-D57</f>
        <v/>
      </c>
    </row>
    <row r="58">
      <c r="A58" s="6" t="n">
        <v>55</v>
      </c>
      <c r="B58" s="6">
        <f>ROUNDUP(A58/12,0)</f>
        <v/>
      </c>
      <c r="C58" s="15">
        <f>G57</f>
        <v/>
      </c>
      <c r="D58" s="15">
        <f>IF(A58&lt;=前提条件!$B$27,MIN(C58,ROUND(前提条件!$B$25/前提条件!$B$27,0)),0)</f>
        <v/>
      </c>
      <c r="E58" s="15">
        <f>ROUND(C58*前提条件!$B$26/12,0)</f>
        <v/>
      </c>
      <c r="F58" s="15">
        <f>D58+E58</f>
        <v/>
      </c>
      <c r="G58" s="15">
        <f>C58-D58</f>
        <v/>
      </c>
    </row>
    <row r="59">
      <c r="A59" s="6" t="n">
        <v>56</v>
      </c>
      <c r="B59" s="6">
        <f>ROUNDUP(A59/12,0)</f>
        <v/>
      </c>
      <c r="C59" s="15">
        <f>G58</f>
        <v/>
      </c>
      <c r="D59" s="15">
        <f>IF(A59&lt;=前提条件!$B$27,MIN(C59,ROUND(前提条件!$B$25/前提条件!$B$27,0)),0)</f>
        <v/>
      </c>
      <c r="E59" s="15">
        <f>ROUND(C59*前提条件!$B$26/12,0)</f>
        <v/>
      </c>
      <c r="F59" s="15">
        <f>D59+E59</f>
        <v/>
      </c>
      <c r="G59" s="15">
        <f>C59-D59</f>
        <v/>
      </c>
    </row>
    <row r="60">
      <c r="A60" s="6" t="n">
        <v>57</v>
      </c>
      <c r="B60" s="6">
        <f>ROUNDUP(A60/12,0)</f>
        <v/>
      </c>
      <c r="C60" s="15">
        <f>G59</f>
        <v/>
      </c>
      <c r="D60" s="15">
        <f>IF(A60&lt;=前提条件!$B$27,MIN(C60,ROUND(前提条件!$B$25/前提条件!$B$27,0)),0)</f>
        <v/>
      </c>
      <c r="E60" s="15">
        <f>ROUND(C60*前提条件!$B$26/12,0)</f>
        <v/>
      </c>
      <c r="F60" s="15">
        <f>D60+E60</f>
        <v/>
      </c>
      <c r="G60" s="15">
        <f>C60-D60</f>
        <v/>
      </c>
    </row>
    <row r="61">
      <c r="A61" s="6" t="n">
        <v>58</v>
      </c>
      <c r="B61" s="6">
        <f>ROUNDUP(A61/12,0)</f>
        <v/>
      </c>
      <c r="C61" s="15">
        <f>G60</f>
        <v/>
      </c>
      <c r="D61" s="15">
        <f>IF(A61&lt;=前提条件!$B$27,MIN(C61,ROUND(前提条件!$B$25/前提条件!$B$27,0)),0)</f>
        <v/>
      </c>
      <c r="E61" s="15">
        <f>ROUND(C61*前提条件!$B$26/12,0)</f>
        <v/>
      </c>
      <c r="F61" s="15">
        <f>D61+E61</f>
        <v/>
      </c>
      <c r="G61" s="15">
        <f>C61-D61</f>
        <v/>
      </c>
    </row>
    <row r="62">
      <c r="A62" s="6" t="n">
        <v>59</v>
      </c>
      <c r="B62" s="6">
        <f>ROUNDUP(A62/12,0)</f>
        <v/>
      </c>
      <c r="C62" s="15">
        <f>G61</f>
        <v/>
      </c>
      <c r="D62" s="15">
        <f>IF(A62&lt;=前提条件!$B$27,MIN(C62,ROUND(前提条件!$B$25/前提条件!$B$27,0)),0)</f>
        <v/>
      </c>
      <c r="E62" s="15">
        <f>ROUND(C62*前提条件!$B$26/12,0)</f>
        <v/>
      </c>
      <c r="F62" s="15">
        <f>D62+E62</f>
        <v/>
      </c>
      <c r="G62" s="15">
        <f>C62-D62</f>
        <v/>
      </c>
    </row>
    <row r="63">
      <c r="A63" s="6" t="n">
        <v>60</v>
      </c>
      <c r="B63" s="6">
        <f>ROUNDUP(A63/12,0)</f>
        <v/>
      </c>
      <c r="C63" s="15">
        <f>G62</f>
        <v/>
      </c>
      <c r="D63" s="15">
        <f>IF(A63&lt;=前提条件!$B$27,MIN(C63,ROUND(前提条件!$B$25/前提条件!$B$27,0)),0)</f>
        <v/>
      </c>
      <c r="E63" s="15">
        <f>ROUND(C63*前提条件!$B$26/12,0)</f>
        <v/>
      </c>
      <c r="F63" s="15">
        <f>D63+E63</f>
        <v/>
      </c>
      <c r="G63" s="15">
        <f>C63-D63</f>
        <v/>
      </c>
    </row>
    <row r="64">
      <c r="A64" s="6" t="n">
        <v>61</v>
      </c>
      <c r="B64" s="6">
        <f>ROUNDUP(A64/12,0)</f>
        <v/>
      </c>
      <c r="C64" s="15">
        <f>G63</f>
        <v/>
      </c>
      <c r="D64" s="15">
        <f>IF(A64&lt;=前提条件!$B$27,MIN(C64,ROUND(前提条件!$B$25/前提条件!$B$27,0)),0)</f>
        <v/>
      </c>
      <c r="E64" s="15">
        <f>ROUND(C64*前提条件!$B$26/12,0)</f>
        <v/>
      </c>
      <c r="F64" s="15">
        <f>D64+E64</f>
        <v/>
      </c>
      <c r="G64" s="15">
        <f>C64-D64</f>
        <v/>
      </c>
    </row>
    <row r="65">
      <c r="A65" s="6" t="n">
        <v>62</v>
      </c>
      <c r="B65" s="6">
        <f>ROUNDUP(A65/12,0)</f>
        <v/>
      </c>
      <c r="C65" s="15">
        <f>G64</f>
        <v/>
      </c>
      <c r="D65" s="15">
        <f>IF(A65&lt;=前提条件!$B$27,MIN(C65,ROUND(前提条件!$B$25/前提条件!$B$27,0)),0)</f>
        <v/>
      </c>
      <c r="E65" s="15">
        <f>ROUND(C65*前提条件!$B$26/12,0)</f>
        <v/>
      </c>
      <c r="F65" s="15">
        <f>D65+E65</f>
        <v/>
      </c>
      <c r="G65" s="15">
        <f>C65-D65</f>
        <v/>
      </c>
    </row>
    <row r="66">
      <c r="A66" s="6" t="n">
        <v>63</v>
      </c>
      <c r="B66" s="6">
        <f>ROUNDUP(A66/12,0)</f>
        <v/>
      </c>
      <c r="C66" s="15">
        <f>G65</f>
        <v/>
      </c>
      <c r="D66" s="15">
        <f>IF(A66&lt;=前提条件!$B$27,MIN(C66,ROUND(前提条件!$B$25/前提条件!$B$27,0)),0)</f>
        <v/>
      </c>
      <c r="E66" s="15">
        <f>ROUND(C66*前提条件!$B$26/12,0)</f>
        <v/>
      </c>
      <c r="F66" s="15">
        <f>D66+E66</f>
        <v/>
      </c>
      <c r="G66" s="15">
        <f>C66-D66</f>
        <v/>
      </c>
    </row>
    <row r="67">
      <c r="A67" s="6" t="n">
        <v>64</v>
      </c>
      <c r="B67" s="6">
        <f>ROUNDUP(A67/12,0)</f>
        <v/>
      </c>
      <c r="C67" s="15">
        <f>G66</f>
        <v/>
      </c>
      <c r="D67" s="15">
        <f>IF(A67&lt;=前提条件!$B$27,MIN(C67,ROUND(前提条件!$B$25/前提条件!$B$27,0)),0)</f>
        <v/>
      </c>
      <c r="E67" s="15">
        <f>ROUND(C67*前提条件!$B$26/12,0)</f>
        <v/>
      </c>
      <c r="F67" s="15">
        <f>D67+E67</f>
        <v/>
      </c>
      <c r="G67" s="15">
        <f>C67-D67</f>
        <v/>
      </c>
    </row>
    <row r="68">
      <c r="A68" s="6" t="n">
        <v>65</v>
      </c>
      <c r="B68" s="6">
        <f>ROUNDUP(A68/12,0)</f>
        <v/>
      </c>
      <c r="C68" s="15">
        <f>G67</f>
        <v/>
      </c>
      <c r="D68" s="15">
        <f>IF(A68&lt;=前提条件!$B$27,MIN(C68,ROUND(前提条件!$B$25/前提条件!$B$27,0)),0)</f>
        <v/>
      </c>
      <c r="E68" s="15">
        <f>ROUND(C68*前提条件!$B$26/12,0)</f>
        <v/>
      </c>
      <c r="F68" s="15">
        <f>D68+E68</f>
        <v/>
      </c>
      <c r="G68" s="15">
        <f>C68-D68</f>
        <v/>
      </c>
    </row>
    <row r="69">
      <c r="A69" s="6" t="n">
        <v>66</v>
      </c>
      <c r="B69" s="6">
        <f>ROUNDUP(A69/12,0)</f>
        <v/>
      </c>
      <c r="C69" s="15">
        <f>G68</f>
        <v/>
      </c>
      <c r="D69" s="15">
        <f>IF(A69&lt;=前提条件!$B$27,MIN(C69,ROUND(前提条件!$B$25/前提条件!$B$27,0)),0)</f>
        <v/>
      </c>
      <c r="E69" s="15">
        <f>ROUND(C69*前提条件!$B$26/12,0)</f>
        <v/>
      </c>
      <c r="F69" s="15">
        <f>D69+E69</f>
        <v/>
      </c>
      <c r="G69" s="15">
        <f>C69-D69</f>
        <v/>
      </c>
    </row>
    <row r="70">
      <c r="A70" s="6" t="n">
        <v>67</v>
      </c>
      <c r="B70" s="6">
        <f>ROUNDUP(A70/12,0)</f>
        <v/>
      </c>
      <c r="C70" s="15">
        <f>G69</f>
        <v/>
      </c>
      <c r="D70" s="15">
        <f>IF(A70&lt;=前提条件!$B$27,MIN(C70,ROUND(前提条件!$B$25/前提条件!$B$27,0)),0)</f>
        <v/>
      </c>
      <c r="E70" s="15">
        <f>ROUND(C70*前提条件!$B$26/12,0)</f>
        <v/>
      </c>
      <c r="F70" s="15">
        <f>D70+E70</f>
        <v/>
      </c>
      <c r="G70" s="15">
        <f>C70-D70</f>
        <v/>
      </c>
    </row>
    <row r="71">
      <c r="A71" s="6" t="n">
        <v>68</v>
      </c>
      <c r="B71" s="6">
        <f>ROUNDUP(A71/12,0)</f>
        <v/>
      </c>
      <c r="C71" s="15">
        <f>G70</f>
        <v/>
      </c>
      <c r="D71" s="15">
        <f>IF(A71&lt;=前提条件!$B$27,MIN(C71,ROUND(前提条件!$B$25/前提条件!$B$27,0)),0)</f>
        <v/>
      </c>
      <c r="E71" s="15">
        <f>ROUND(C71*前提条件!$B$26/12,0)</f>
        <v/>
      </c>
      <c r="F71" s="15">
        <f>D71+E71</f>
        <v/>
      </c>
      <c r="G71" s="15">
        <f>C71-D71</f>
        <v/>
      </c>
    </row>
    <row r="72">
      <c r="A72" s="6" t="n">
        <v>69</v>
      </c>
      <c r="B72" s="6">
        <f>ROUNDUP(A72/12,0)</f>
        <v/>
      </c>
      <c r="C72" s="15">
        <f>G71</f>
        <v/>
      </c>
      <c r="D72" s="15">
        <f>IF(A72&lt;=前提条件!$B$27,MIN(C72,ROUND(前提条件!$B$25/前提条件!$B$27,0)),0)</f>
        <v/>
      </c>
      <c r="E72" s="15">
        <f>ROUND(C72*前提条件!$B$26/12,0)</f>
        <v/>
      </c>
      <c r="F72" s="15">
        <f>D72+E72</f>
        <v/>
      </c>
      <c r="G72" s="15">
        <f>C72-D72</f>
        <v/>
      </c>
    </row>
    <row r="73">
      <c r="A73" s="6" t="n">
        <v>70</v>
      </c>
      <c r="B73" s="6">
        <f>ROUNDUP(A73/12,0)</f>
        <v/>
      </c>
      <c r="C73" s="15">
        <f>G72</f>
        <v/>
      </c>
      <c r="D73" s="15">
        <f>IF(A73&lt;=前提条件!$B$27,MIN(C73,ROUND(前提条件!$B$25/前提条件!$B$27,0)),0)</f>
        <v/>
      </c>
      <c r="E73" s="15">
        <f>ROUND(C73*前提条件!$B$26/12,0)</f>
        <v/>
      </c>
      <c r="F73" s="15">
        <f>D73+E73</f>
        <v/>
      </c>
      <c r="G73" s="15">
        <f>C73-D73</f>
        <v/>
      </c>
    </row>
    <row r="74">
      <c r="A74" s="6" t="n">
        <v>71</v>
      </c>
      <c r="B74" s="6">
        <f>ROUNDUP(A74/12,0)</f>
        <v/>
      </c>
      <c r="C74" s="15">
        <f>G73</f>
        <v/>
      </c>
      <c r="D74" s="15">
        <f>IF(A74&lt;=前提条件!$B$27,MIN(C74,ROUND(前提条件!$B$25/前提条件!$B$27,0)),0)</f>
        <v/>
      </c>
      <c r="E74" s="15">
        <f>ROUND(C74*前提条件!$B$26/12,0)</f>
        <v/>
      </c>
      <c r="F74" s="15">
        <f>D74+E74</f>
        <v/>
      </c>
      <c r="G74" s="15">
        <f>C74-D74</f>
        <v/>
      </c>
    </row>
    <row r="75">
      <c r="A75" s="6" t="n">
        <v>72</v>
      </c>
      <c r="B75" s="6">
        <f>ROUNDUP(A75/12,0)</f>
        <v/>
      </c>
      <c r="C75" s="15">
        <f>G74</f>
        <v/>
      </c>
      <c r="D75" s="15">
        <f>IF(A75&lt;=前提条件!$B$27,MIN(C75,ROUND(前提条件!$B$25/前提条件!$B$27,0)),0)</f>
        <v/>
      </c>
      <c r="E75" s="15">
        <f>ROUND(C75*前提条件!$B$26/12,0)</f>
        <v/>
      </c>
      <c r="F75" s="15">
        <f>D75+E75</f>
        <v/>
      </c>
      <c r="G75" s="15">
        <f>C75-D75</f>
        <v/>
      </c>
    </row>
    <row r="76">
      <c r="A76" s="6" t="n">
        <v>73</v>
      </c>
      <c r="B76" s="6">
        <f>ROUNDUP(A76/12,0)</f>
        <v/>
      </c>
      <c r="C76" s="15">
        <f>G75</f>
        <v/>
      </c>
      <c r="D76" s="15">
        <f>IF(A76&lt;=前提条件!$B$27,MIN(C76,ROUND(前提条件!$B$25/前提条件!$B$27,0)),0)</f>
        <v/>
      </c>
      <c r="E76" s="15">
        <f>ROUND(C76*前提条件!$B$26/12,0)</f>
        <v/>
      </c>
      <c r="F76" s="15">
        <f>D76+E76</f>
        <v/>
      </c>
      <c r="G76" s="15">
        <f>C76-D76</f>
        <v/>
      </c>
    </row>
    <row r="77">
      <c r="A77" s="6" t="n">
        <v>74</v>
      </c>
      <c r="B77" s="6">
        <f>ROUNDUP(A77/12,0)</f>
        <v/>
      </c>
      <c r="C77" s="15">
        <f>G76</f>
        <v/>
      </c>
      <c r="D77" s="15">
        <f>IF(A77&lt;=前提条件!$B$27,MIN(C77,ROUND(前提条件!$B$25/前提条件!$B$27,0)),0)</f>
        <v/>
      </c>
      <c r="E77" s="15">
        <f>ROUND(C77*前提条件!$B$26/12,0)</f>
        <v/>
      </c>
      <c r="F77" s="15">
        <f>D77+E77</f>
        <v/>
      </c>
      <c r="G77" s="15">
        <f>C77-D77</f>
        <v/>
      </c>
    </row>
    <row r="78">
      <c r="A78" s="6" t="n">
        <v>75</v>
      </c>
      <c r="B78" s="6">
        <f>ROUNDUP(A78/12,0)</f>
        <v/>
      </c>
      <c r="C78" s="15">
        <f>G77</f>
        <v/>
      </c>
      <c r="D78" s="15">
        <f>IF(A78&lt;=前提条件!$B$27,MIN(C78,ROUND(前提条件!$B$25/前提条件!$B$27,0)),0)</f>
        <v/>
      </c>
      <c r="E78" s="15">
        <f>ROUND(C78*前提条件!$B$26/12,0)</f>
        <v/>
      </c>
      <c r="F78" s="15">
        <f>D78+E78</f>
        <v/>
      </c>
      <c r="G78" s="15">
        <f>C78-D78</f>
        <v/>
      </c>
    </row>
    <row r="79">
      <c r="A79" s="6" t="n">
        <v>76</v>
      </c>
      <c r="B79" s="6">
        <f>ROUNDUP(A79/12,0)</f>
        <v/>
      </c>
      <c r="C79" s="15">
        <f>G78</f>
        <v/>
      </c>
      <c r="D79" s="15">
        <f>IF(A79&lt;=前提条件!$B$27,MIN(C79,ROUND(前提条件!$B$25/前提条件!$B$27,0)),0)</f>
        <v/>
      </c>
      <c r="E79" s="15">
        <f>ROUND(C79*前提条件!$B$26/12,0)</f>
        <v/>
      </c>
      <c r="F79" s="15">
        <f>D79+E79</f>
        <v/>
      </c>
      <c r="G79" s="15">
        <f>C79-D79</f>
        <v/>
      </c>
    </row>
    <row r="80">
      <c r="A80" s="6" t="n">
        <v>77</v>
      </c>
      <c r="B80" s="6">
        <f>ROUNDUP(A80/12,0)</f>
        <v/>
      </c>
      <c r="C80" s="15">
        <f>G79</f>
        <v/>
      </c>
      <c r="D80" s="15">
        <f>IF(A80&lt;=前提条件!$B$27,MIN(C80,ROUND(前提条件!$B$25/前提条件!$B$27,0)),0)</f>
        <v/>
      </c>
      <c r="E80" s="15">
        <f>ROUND(C80*前提条件!$B$26/12,0)</f>
        <v/>
      </c>
      <c r="F80" s="15">
        <f>D80+E80</f>
        <v/>
      </c>
      <c r="G80" s="15">
        <f>C80-D80</f>
        <v/>
      </c>
    </row>
    <row r="81">
      <c r="A81" s="6" t="n">
        <v>78</v>
      </c>
      <c r="B81" s="6">
        <f>ROUNDUP(A81/12,0)</f>
        <v/>
      </c>
      <c r="C81" s="15">
        <f>G80</f>
        <v/>
      </c>
      <c r="D81" s="15">
        <f>IF(A81&lt;=前提条件!$B$27,MIN(C81,ROUND(前提条件!$B$25/前提条件!$B$27,0)),0)</f>
        <v/>
      </c>
      <c r="E81" s="15">
        <f>ROUND(C81*前提条件!$B$26/12,0)</f>
        <v/>
      </c>
      <c r="F81" s="15">
        <f>D81+E81</f>
        <v/>
      </c>
      <c r="G81" s="15">
        <f>C81-D81</f>
        <v/>
      </c>
    </row>
    <row r="82">
      <c r="A82" s="6" t="n">
        <v>79</v>
      </c>
      <c r="B82" s="6">
        <f>ROUNDUP(A82/12,0)</f>
        <v/>
      </c>
      <c r="C82" s="15">
        <f>G81</f>
        <v/>
      </c>
      <c r="D82" s="15">
        <f>IF(A82&lt;=前提条件!$B$27,MIN(C82,ROUND(前提条件!$B$25/前提条件!$B$27,0)),0)</f>
        <v/>
      </c>
      <c r="E82" s="15">
        <f>ROUND(C82*前提条件!$B$26/12,0)</f>
        <v/>
      </c>
      <c r="F82" s="15">
        <f>D82+E82</f>
        <v/>
      </c>
      <c r="G82" s="15">
        <f>C82-D82</f>
        <v/>
      </c>
    </row>
    <row r="83">
      <c r="A83" s="6" t="n">
        <v>80</v>
      </c>
      <c r="B83" s="6">
        <f>ROUNDUP(A83/12,0)</f>
        <v/>
      </c>
      <c r="C83" s="15">
        <f>G82</f>
        <v/>
      </c>
      <c r="D83" s="15">
        <f>IF(A83&lt;=前提条件!$B$27,MIN(C83,ROUND(前提条件!$B$25/前提条件!$B$27,0)),0)</f>
        <v/>
      </c>
      <c r="E83" s="15">
        <f>ROUND(C83*前提条件!$B$26/12,0)</f>
        <v/>
      </c>
      <c r="F83" s="15">
        <f>D83+E83</f>
        <v/>
      </c>
      <c r="G83" s="15">
        <f>C83-D83</f>
        <v/>
      </c>
    </row>
    <row r="84">
      <c r="A84" s="6" t="n">
        <v>81</v>
      </c>
      <c r="B84" s="6">
        <f>ROUNDUP(A84/12,0)</f>
        <v/>
      </c>
      <c r="C84" s="15">
        <f>G83</f>
        <v/>
      </c>
      <c r="D84" s="15">
        <f>IF(A84&lt;=前提条件!$B$27,MIN(C84,ROUND(前提条件!$B$25/前提条件!$B$27,0)),0)</f>
        <v/>
      </c>
      <c r="E84" s="15">
        <f>ROUND(C84*前提条件!$B$26/12,0)</f>
        <v/>
      </c>
      <c r="F84" s="15">
        <f>D84+E84</f>
        <v/>
      </c>
      <c r="G84" s="15">
        <f>C84-D84</f>
        <v/>
      </c>
    </row>
    <row r="85">
      <c r="A85" s="6" t="n">
        <v>82</v>
      </c>
      <c r="B85" s="6">
        <f>ROUNDUP(A85/12,0)</f>
        <v/>
      </c>
      <c r="C85" s="15">
        <f>G84</f>
        <v/>
      </c>
      <c r="D85" s="15">
        <f>IF(A85&lt;=前提条件!$B$27,MIN(C85,ROUND(前提条件!$B$25/前提条件!$B$27,0)),0)</f>
        <v/>
      </c>
      <c r="E85" s="15">
        <f>ROUND(C85*前提条件!$B$26/12,0)</f>
        <v/>
      </c>
      <c r="F85" s="15">
        <f>D85+E85</f>
        <v/>
      </c>
      <c r="G85" s="15">
        <f>C85-D85</f>
        <v/>
      </c>
    </row>
    <row r="86">
      <c r="A86" s="6" t="n">
        <v>83</v>
      </c>
      <c r="B86" s="6">
        <f>ROUNDUP(A86/12,0)</f>
        <v/>
      </c>
      <c r="C86" s="15">
        <f>G85</f>
        <v/>
      </c>
      <c r="D86" s="15">
        <f>IF(A86&lt;=前提条件!$B$27,MIN(C86,ROUND(前提条件!$B$25/前提条件!$B$27,0)),0)</f>
        <v/>
      </c>
      <c r="E86" s="15">
        <f>ROUND(C86*前提条件!$B$26/12,0)</f>
        <v/>
      </c>
      <c r="F86" s="15">
        <f>D86+E86</f>
        <v/>
      </c>
      <c r="G86" s="15">
        <f>C86-D86</f>
        <v/>
      </c>
    </row>
    <row r="87">
      <c r="A87" s="6" t="n">
        <v>84</v>
      </c>
      <c r="B87" s="6">
        <f>ROUNDUP(A87/12,0)</f>
        <v/>
      </c>
      <c r="C87" s="15">
        <f>G86</f>
        <v/>
      </c>
      <c r="D87" s="15">
        <f>IF(A87&lt;=前提条件!$B$27,MIN(C87,ROUND(前提条件!$B$25/前提条件!$B$27,0)),0)</f>
        <v/>
      </c>
      <c r="E87" s="15">
        <f>ROUND(C87*前提条件!$B$26/12,0)</f>
        <v/>
      </c>
      <c r="F87" s="15">
        <f>D87+E87</f>
        <v/>
      </c>
      <c r="G87" s="15">
        <f>C87-D87</f>
        <v/>
      </c>
    </row>
  </sheetData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O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12" max="12"/>
    <col width="12" customWidth="1" min="13" max="13"/>
    <col width="16" customWidth="1" min="14" max="14"/>
    <col width="10" customWidth="1" min="15" max="15"/>
  </cols>
  <sheetData>
    <row r="1">
      <c r="B1" s="1" t="inlineStr">
        <is>
          <t>グラフ（数字が変わると自動で描き直されます）</t>
        </is>
      </c>
    </row>
    <row r="2">
      <c r="L2" t="inlineStr">
        <is>
          <t>グラフのもとの数字（万円）</t>
        </is>
      </c>
    </row>
    <row r="3">
      <c r="L3" s="2" t="inlineStr">
        <is>
          <t>年</t>
        </is>
      </c>
      <c r="M3" s="2" t="inlineStr">
        <is>
          <t>売上</t>
        </is>
      </c>
      <c r="N3" s="2" t="inlineStr">
        <is>
          <t>経費（原価含む）</t>
        </is>
      </c>
      <c r="O3" s="2" t="inlineStr">
        <is>
          <t>利益</t>
        </is>
      </c>
    </row>
    <row r="4">
      <c r="L4" s="2" t="inlineStr">
        <is>
          <t>1年目</t>
        </is>
      </c>
      <c r="M4" s="2">
        <f>ROUND('3年間の収支'!B5/10000,0)</f>
        <v/>
      </c>
      <c r="N4" s="2">
        <f>ROUND(('3年間の収支'!B6+'3年間の収支'!B14)/10000,0)</f>
        <v/>
      </c>
      <c r="O4" s="2">
        <f>ROUND('3年間の収支'!B15/10000,0)</f>
        <v/>
      </c>
    </row>
    <row r="5">
      <c r="L5" s="2" t="inlineStr">
        <is>
          <t>2年目</t>
        </is>
      </c>
      <c r="M5" s="2">
        <f>ROUND('3年間の収支'!C5/10000,0)</f>
        <v/>
      </c>
      <c r="N5" s="2">
        <f>ROUND(('3年間の収支'!C6+'3年間の収支'!C14)/10000,0)</f>
        <v/>
      </c>
      <c r="O5" s="2">
        <f>ROUND('3年間の収支'!C15/10000,0)</f>
        <v/>
      </c>
    </row>
    <row r="6">
      <c r="L6" s="2" t="inlineStr">
        <is>
          <t>3年目</t>
        </is>
      </c>
      <c r="M6" s="2">
        <f>ROUND('3年間の収支'!D5/10000,0)</f>
        <v/>
      </c>
      <c r="N6" s="2">
        <f>ROUND(('3年間の収支'!D6+'3年間の収支'!D14)/10000,0)</f>
        <v/>
      </c>
      <c r="O6" s="2">
        <f>ROUND('3年間の収支'!D15/10000,0)</f>
        <v/>
      </c>
    </row>
    <row r="7">
      <c r="L7" s="2" t="n"/>
      <c r="M7" s="2" t="n"/>
      <c r="N7" s="2" t="n"/>
      <c r="O7" s="2" t="n"/>
    </row>
    <row r="8">
      <c r="L8" s="2" t="n"/>
      <c r="M8" s="2" t="n"/>
      <c r="N8" s="2" t="n"/>
      <c r="O8" s="2" t="n"/>
    </row>
    <row r="9">
      <c r="L9" s="2" t="inlineStr">
        <is>
          <t>月</t>
        </is>
      </c>
      <c r="M9" s="2" t="inlineStr">
        <is>
          <t>売上（万円）</t>
        </is>
      </c>
      <c r="N9" s="2" t="inlineStr">
        <is>
          <t>利益（万円）</t>
        </is>
      </c>
      <c r="O9" s="2" t="n"/>
    </row>
    <row r="10">
      <c r="L10" s="2" t="inlineStr">
        <is>
          <t>4月</t>
        </is>
      </c>
      <c r="M10" s="2">
        <f>ROUND('1年目の月別'!B6/10000,1)</f>
        <v/>
      </c>
      <c r="N10" s="2">
        <f>ROUND('1年目の月別'!B16/10000,1)</f>
        <v/>
      </c>
      <c r="O10" s="2" t="n"/>
    </row>
    <row r="11">
      <c r="L11" s="2" t="inlineStr">
        <is>
          <t>5月</t>
        </is>
      </c>
      <c r="M11" s="2">
        <f>ROUND('1年目の月別'!C6/10000,1)</f>
        <v/>
      </c>
      <c r="N11" s="2">
        <f>ROUND('1年目の月別'!C16/10000,1)</f>
        <v/>
      </c>
      <c r="O11" s="2" t="n"/>
    </row>
    <row r="12">
      <c r="L12" s="2" t="inlineStr">
        <is>
          <t>6月</t>
        </is>
      </c>
      <c r="M12" s="2">
        <f>ROUND('1年目の月別'!D6/10000,1)</f>
        <v/>
      </c>
      <c r="N12" s="2">
        <f>ROUND('1年目の月別'!D16/10000,1)</f>
        <v/>
      </c>
      <c r="O12" s="2" t="n"/>
    </row>
    <row r="13">
      <c r="L13" s="2" t="inlineStr">
        <is>
          <t>7月</t>
        </is>
      </c>
      <c r="M13" s="2">
        <f>ROUND('1年目の月別'!E6/10000,1)</f>
        <v/>
      </c>
      <c r="N13" s="2">
        <f>ROUND('1年目の月別'!E16/10000,1)</f>
        <v/>
      </c>
      <c r="O13" s="2" t="n"/>
    </row>
    <row r="14">
      <c r="L14" s="2" t="inlineStr">
        <is>
          <t>8月</t>
        </is>
      </c>
      <c r="M14" s="2">
        <f>ROUND('1年目の月別'!F6/10000,1)</f>
        <v/>
      </c>
      <c r="N14" s="2">
        <f>ROUND('1年目の月別'!F16/10000,1)</f>
        <v/>
      </c>
      <c r="O14" s="2" t="n"/>
    </row>
    <row r="15">
      <c r="L15" s="2" t="inlineStr">
        <is>
          <t>9月</t>
        </is>
      </c>
      <c r="M15" s="2">
        <f>ROUND('1年目の月別'!G6/10000,1)</f>
        <v/>
      </c>
      <c r="N15" s="2">
        <f>ROUND('1年目の月別'!G16/10000,1)</f>
        <v/>
      </c>
      <c r="O15" s="2" t="n"/>
    </row>
    <row r="16">
      <c r="L16" s="2" t="inlineStr">
        <is>
          <t>10月</t>
        </is>
      </c>
      <c r="M16" s="2">
        <f>ROUND('1年目の月別'!H6/10000,1)</f>
        <v/>
      </c>
      <c r="N16" s="2">
        <f>ROUND('1年目の月別'!H16/10000,1)</f>
        <v/>
      </c>
      <c r="O16" s="2" t="n"/>
    </row>
    <row r="17">
      <c r="L17" s="2" t="inlineStr">
        <is>
          <t>11月</t>
        </is>
      </c>
      <c r="M17" s="2">
        <f>ROUND('1年目の月別'!I6/10000,1)</f>
        <v/>
      </c>
      <c r="N17" s="2">
        <f>ROUND('1年目の月別'!I16/10000,1)</f>
        <v/>
      </c>
      <c r="O17" s="2" t="n"/>
    </row>
    <row r="18">
      <c r="L18" s="2" t="inlineStr">
        <is>
          <t>12月</t>
        </is>
      </c>
      <c r="M18" s="2">
        <f>ROUND('1年目の月別'!J6/10000,1)</f>
        <v/>
      </c>
      <c r="N18" s="2">
        <f>ROUND('1年目の月別'!J16/10000,1)</f>
        <v/>
      </c>
      <c r="O18" s="2" t="n"/>
    </row>
    <row r="19">
      <c r="L19" s="2" t="inlineStr">
        <is>
          <t>1月</t>
        </is>
      </c>
      <c r="M19" s="2">
        <f>ROUND('1年目の月別'!K6/10000,1)</f>
        <v/>
      </c>
      <c r="N19" s="2">
        <f>ROUND('1年目の月別'!K16/10000,1)</f>
        <v/>
      </c>
      <c r="O19" s="2" t="n"/>
    </row>
    <row r="20">
      <c r="L20" s="2" t="inlineStr">
        <is>
          <t>2月</t>
        </is>
      </c>
      <c r="M20" s="2">
        <f>ROUND('1年目の月別'!L6/10000,1)</f>
        <v/>
      </c>
      <c r="N20" s="2">
        <f>ROUND('1年目の月別'!L16/10000,1)</f>
        <v/>
      </c>
      <c r="O20" s="2" t="n"/>
    </row>
    <row r="21">
      <c r="L21" s="2" t="inlineStr">
        <is>
          <t>3月</t>
        </is>
      </c>
      <c r="M21" s="2">
        <f>ROUND('1年目の月別'!M6/10000,1)</f>
        <v/>
      </c>
      <c r="N21" s="2">
        <f>ROUND('1年目の月別'!M16/10000,1)</f>
        <v/>
      </c>
      <c r="O21" s="2" t="n"/>
    </row>
  </sheetData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2026-10-23T22:37:13Z</dcterms:created>
  <dcterms:modified xmlns:dcterms="http://purl.org/dc/terms/" xmlns:xsi="http://www.w3.org/2001/XMLSchema-instance" xsi:type="dcterms:W3CDTF">2026-10-23T22:37:13Z</dcterms:modified>
</cp:coreProperties>
</file>